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027Uw9RZ1J5GkuJTgG91tp692tbDlwjj\ИТМО\2-курс\физика\4-семестр\лабы\лаба5\"/>
    </mc:Choice>
  </mc:AlternateContent>
  <xr:revisionPtr revIDLastSave="0" documentId="13_ncr:1_{31890ABD-4F25-4925-AA0F-4633E43B8B03}" xr6:coauthVersionLast="47" xr6:coauthVersionMax="47" xr10:uidLastSave="{00000000-0000-0000-0000-000000000000}"/>
  <bookViews>
    <workbookView xWindow="-108" yWindow="-108" windowWidth="23256" windowHeight="12456" xr2:uid="{2DA88630-14B2-46BC-9070-F1BE09081EF6}"/>
  </bookViews>
  <sheets>
    <sheet name="0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C29" i="2"/>
  <c r="B29" i="2"/>
  <c r="B28" i="2"/>
  <c r="B27" i="2"/>
  <c r="B26" i="2"/>
  <c r="D4" i="2"/>
  <c r="D5" i="2"/>
  <c r="D6" i="2" s="1"/>
  <c r="K4" i="2"/>
  <c r="K3" i="2"/>
  <c r="K2" i="2"/>
  <c r="C26" i="2"/>
  <c r="D26" i="2"/>
  <c r="C24" i="2"/>
  <c r="C27" i="2" s="1"/>
  <c r="C28" i="2" s="1"/>
  <c r="D24" i="2"/>
  <c r="D27" i="2" s="1"/>
  <c r="D28" i="2" s="1"/>
  <c r="B24" i="2"/>
  <c r="C18" i="2"/>
  <c r="D18" i="2"/>
  <c r="B18" i="2"/>
  <c r="C12" i="2"/>
  <c r="D12" i="2"/>
  <c r="B12" i="2"/>
  <c r="C5" i="2"/>
  <c r="C6" i="2" s="1"/>
  <c r="B5" i="2"/>
  <c r="B6" i="2" s="1"/>
  <c r="C4" i="2"/>
  <c r="B4" i="2"/>
</calcChain>
</file>

<file path=xl/sharedStrings.xml><?xml version="1.0" encoding="utf-8"?>
<sst xmlns="http://schemas.openxmlformats.org/spreadsheetml/2006/main" count="31" uniqueCount="23">
  <si>
    <t>a</t>
  </si>
  <si>
    <r>
      <t>ln</t>
    </r>
    <r>
      <rPr>
        <sz val="11"/>
        <color theme="1"/>
        <rFont val="Aptos Narrow"/>
        <family val="2"/>
      </rPr>
      <t>σ</t>
    </r>
  </si>
  <si>
    <t>T,К</t>
  </si>
  <si>
    <t>U_12, В</t>
  </si>
  <si>
    <t>1/T, 1/К</t>
  </si>
  <si>
    <t>σ, сименс</t>
  </si>
  <si>
    <t>I=1мА</t>
  </si>
  <si>
    <t>В, мТл</t>
  </si>
  <si>
    <t>U_x,B</t>
  </si>
  <si>
    <t>U''_34, B</t>
  </si>
  <si>
    <t>U'_34, B</t>
  </si>
  <si>
    <t>I, мкА</t>
  </si>
  <si>
    <t>B=8мТл</t>
  </si>
  <si>
    <t>R_x, м^3/Кл</t>
  </si>
  <si>
    <t>n, м^-3</t>
  </si>
  <si>
    <t>μ, сименс/Кл</t>
  </si>
  <si>
    <t>L_12</t>
  </si>
  <si>
    <t>bd</t>
  </si>
  <si>
    <t>T=320К</t>
  </si>
  <si>
    <t>I=1256 мкА</t>
  </si>
  <si>
    <t>T=330K</t>
  </si>
  <si>
    <t>B=10мТл</t>
  </si>
  <si>
    <t>I=1387мкА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</si>
</sst>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u="none" strike="noStrike" baseline="0"/>
              <a:t>Зависимость проводимости полупроводника от</a:t>
            </a:r>
            <a:r>
              <a:rPr lang="en-US" sz="1200" b="0" i="0" u="none" strike="noStrike" baseline="0"/>
              <a:t> </a:t>
            </a:r>
            <a:r>
              <a:rPr lang="ru-RU" sz="1200" b="0" i="0" u="none" strike="noStrike" baseline="0"/>
              <a:t>температуры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638833077429261"/>
          <c:y val="0.11864693446088795"/>
          <c:w val="0.83181662645316956"/>
          <c:h val="0.7673250978488016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'08'!$B$4:$G$4</c:f>
              <c:numCache>
                <c:formatCode>0.00000</c:formatCode>
                <c:ptCount val="6"/>
                <c:pt idx="0">
                  <c:v>3.3333333333333335E-3</c:v>
                </c:pt>
                <c:pt idx="1">
                  <c:v>3.0303030303030303E-3</c:v>
                </c:pt>
                <c:pt idx="2">
                  <c:v>2.8571428571428571E-3</c:v>
                </c:pt>
              </c:numCache>
            </c:numRef>
          </c:xVal>
          <c:yVal>
            <c:numRef>
              <c:f>'08'!$B$6:$G$6</c:f>
              <c:numCache>
                <c:formatCode>0.00000</c:formatCode>
                <c:ptCount val="6"/>
                <c:pt idx="0">
                  <c:v>-1.4816045409242153</c:v>
                </c:pt>
                <c:pt idx="1">
                  <c:v>-1.3862943611198906</c:v>
                </c:pt>
                <c:pt idx="2">
                  <c:v>0.91629073187415511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E-45E9-9FC7-E9B52AEFB6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19886351"/>
        <c:axId val="619884431"/>
      </c:scatterChart>
      <c:valAx>
        <c:axId val="619886351"/>
        <c:scaling>
          <c:orientation val="minMax"/>
          <c:min val="2.7000000000000006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</a:t>
                </a:r>
                <a:r>
                  <a:rPr lang="en-US"/>
                  <a:t>/T,</a:t>
                </a:r>
                <a:r>
                  <a:rPr lang="en-US" baseline="0"/>
                  <a:t> 1/</a:t>
                </a:r>
                <a:r>
                  <a:rPr lang="ru-RU" baseline="0"/>
                  <a:t>К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4632524382728023"/>
              <c:y val="0.94266126172995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884431"/>
        <c:crossesAt val="-6.6"/>
        <c:crossBetween val="midCat"/>
      </c:valAx>
      <c:valAx>
        <c:axId val="6198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  <a:r>
                  <a:rPr lang="el-GR"/>
                  <a:t>σ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7375740293924104E-2"/>
              <c:y val="0.40875651587090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88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349624</xdr:colOff>
      <xdr:row>6</xdr:row>
      <xdr:rowOff>107576</xdr:rowOff>
    </xdr:from>
    <xdr:to>
      <xdr:col>18</xdr:col>
      <xdr:colOff>561974</xdr:colOff>
      <xdr:row>29</xdr:row>
      <xdr:rowOff>170330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45DE62-DAC1-AD1C-8C96-DC84324F3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E948-8005-4532-81CE-E1D97DF09F04}">
  <dimension ref="A1:K29"/>
  <sheetViews>
    <sheetView tabSelected="1" zoomScale="85" zoomScaleNormal="85" workbookViewId="0">
      <selection activeCell="U10" sqref="U10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1.33203125" customWidth="1"/>
    <col min="4" max="4" width="9.88671875" customWidth="1"/>
    <col min="5" max="5" width="10.33203125" customWidth="1"/>
    <col min="6" max="6" width="11.33203125" customWidth="1"/>
    <col min="7" max="7" width="10.109375" customWidth="1"/>
  </cols>
  <sheetData>
    <row r="1" spans="1:11" x14ac:dyDescent="0.3">
      <c r="A1" s="2" t="s">
        <v>6</v>
      </c>
    </row>
    <row r="2" spans="1:11" x14ac:dyDescent="0.3">
      <c r="A2" t="s">
        <v>2</v>
      </c>
      <c r="B2">
        <v>300</v>
      </c>
      <c r="C2">
        <v>330</v>
      </c>
      <c r="D2">
        <v>350</v>
      </c>
      <c r="J2" t="s">
        <v>16</v>
      </c>
      <c r="K2">
        <f>10*10^(-6)</f>
        <v>9.9999999999999991E-6</v>
      </c>
    </row>
    <row r="3" spans="1:11" x14ac:dyDescent="0.3">
      <c r="A3" t="s">
        <v>3</v>
      </c>
      <c r="B3">
        <v>1.0999999999999999E-2</v>
      </c>
      <c r="C3">
        <v>0.01</v>
      </c>
      <c r="D3">
        <v>1E-3</v>
      </c>
      <c r="J3" t="s">
        <v>17</v>
      </c>
      <c r="K3">
        <f>2*2*10^(-3)*10^(-3)</f>
        <v>3.9999999999999998E-6</v>
      </c>
    </row>
    <row r="4" spans="1:11" x14ac:dyDescent="0.3">
      <c r="A4" t="s">
        <v>4</v>
      </c>
      <c r="B4" s="4">
        <f>1/B2</f>
        <v>3.3333333333333335E-3</v>
      </c>
      <c r="C4" s="4">
        <f>1/C2</f>
        <v>3.0303030303030303E-3</v>
      </c>
      <c r="D4" s="4">
        <f>1/D2</f>
        <v>2.8571428571428571E-3</v>
      </c>
      <c r="G4" s="4"/>
      <c r="J4" t="s">
        <v>0</v>
      </c>
      <c r="K4">
        <f>1.93</f>
        <v>1.93</v>
      </c>
    </row>
    <row r="5" spans="1:11" x14ac:dyDescent="0.3">
      <c r="A5" s="1" t="s">
        <v>5</v>
      </c>
      <c r="B5" s="4">
        <f>(1*10^(-3)*10*10^(-6))/(B3*2*2*10^(-3)*10^(-3))</f>
        <v>0.22727272727272729</v>
      </c>
      <c r="C5" s="4">
        <f>(1*10^(-3)*10*10^(-6))/(C3*2*2*10^(-3)*10^(-3))</f>
        <v>0.25</v>
      </c>
      <c r="D5" s="4">
        <f>(1*10^(-3)*10*10^(-6))/(D3*2*2*10^(-3)*10^(-3))</f>
        <v>2.5</v>
      </c>
      <c r="G5" s="4"/>
    </row>
    <row r="6" spans="1:11" x14ac:dyDescent="0.3">
      <c r="A6" t="s">
        <v>1</v>
      </c>
      <c r="B6" s="4">
        <f>LN(B5)</f>
        <v>-1.4816045409242153</v>
      </c>
      <c r="C6" s="4">
        <f>LN(C5)</f>
        <v>-1.3862943611198906</v>
      </c>
      <c r="D6" s="4">
        <f>LN(D5)</f>
        <v>0.91629073187415511</v>
      </c>
      <c r="G6" s="4"/>
    </row>
    <row r="8" spans="1:11" x14ac:dyDescent="0.3">
      <c r="A8" t="s">
        <v>18</v>
      </c>
      <c r="B8" t="s">
        <v>19</v>
      </c>
    </row>
    <row r="9" spans="1:11" x14ac:dyDescent="0.3">
      <c r="A9" t="s">
        <v>7</v>
      </c>
      <c r="B9">
        <v>2</v>
      </c>
      <c r="C9">
        <v>4</v>
      </c>
      <c r="D9">
        <v>12</v>
      </c>
    </row>
    <row r="10" spans="1:11" x14ac:dyDescent="0.3">
      <c r="A10" s="2" t="s">
        <v>10</v>
      </c>
      <c r="B10">
        <v>-1.4E-2</v>
      </c>
      <c r="C10">
        <v>-6.0000000000000001E-3</v>
      </c>
      <c r="D10">
        <v>9.7000000000000003E-2</v>
      </c>
    </row>
    <row r="11" spans="1:11" x14ac:dyDescent="0.3">
      <c r="A11" s="2" t="s">
        <v>9</v>
      </c>
      <c r="B11">
        <v>-6.2E-2</v>
      </c>
      <c r="C11">
        <v>-8.3000000000000004E-2</v>
      </c>
      <c r="D11">
        <v>-0.17199999999999999</v>
      </c>
    </row>
    <row r="12" spans="1:11" x14ac:dyDescent="0.3">
      <c r="A12" t="s">
        <v>8</v>
      </c>
      <c r="B12" s="3">
        <f>(B10-B11)/2</f>
        <v>2.4E-2</v>
      </c>
      <c r="C12" s="3">
        <f t="shared" ref="C12" si="0">(C10-C11)/2</f>
        <v>3.85E-2</v>
      </c>
      <c r="D12" s="3">
        <f>(D10-D11)/2</f>
        <v>0.13450000000000001</v>
      </c>
      <c r="E12" s="3"/>
      <c r="F12" s="3"/>
    </row>
    <row r="14" spans="1:11" x14ac:dyDescent="0.3">
      <c r="A14" t="s">
        <v>20</v>
      </c>
      <c r="B14" t="s">
        <v>21</v>
      </c>
    </row>
    <row r="15" spans="1:11" x14ac:dyDescent="0.3">
      <c r="A15" t="s">
        <v>11</v>
      </c>
      <c r="B15">
        <v>413</v>
      </c>
      <c r="C15">
        <v>610</v>
      </c>
      <c r="D15">
        <v>814</v>
      </c>
    </row>
    <row r="16" spans="1:11" x14ac:dyDescent="0.3">
      <c r="A16" s="2" t="s">
        <v>10</v>
      </c>
      <c r="B16">
        <v>3.1E-2</v>
      </c>
      <c r="C16">
        <v>4.5999999999999999E-2</v>
      </c>
      <c r="D16">
        <v>6.0999999999999999E-2</v>
      </c>
    </row>
    <row r="17" spans="1:7" x14ac:dyDescent="0.3">
      <c r="A17" s="2" t="s">
        <v>9</v>
      </c>
      <c r="B17">
        <v>-0.06</v>
      </c>
      <c r="C17">
        <v>-8.6999999999999994E-2</v>
      </c>
      <c r="D17">
        <v>-0.11600000000000001</v>
      </c>
    </row>
    <row r="18" spans="1:7" x14ac:dyDescent="0.3">
      <c r="A18" t="s">
        <v>8</v>
      </c>
      <c r="B18" s="3">
        <f>(B16-B17)/2</f>
        <v>4.5499999999999999E-2</v>
      </c>
      <c r="C18" s="3">
        <f>(C16-C17)/2</f>
        <v>6.6500000000000004E-2</v>
      </c>
      <c r="D18" s="3">
        <f>(D16-D17)/2</f>
        <v>8.8499999999999995E-2</v>
      </c>
      <c r="G18" s="3"/>
    </row>
    <row r="20" spans="1:7" x14ac:dyDescent="0.3">
      <c r="A20" t="s">
        <v>22</v>
      </c>
      <c r="B20" t="s">
        <v>12</v>
      </c>
    </row>
    <row r="21" spans="1:7" x14ac:dyDescent="0.3">
      <c r="A21" t="s">
        <v>2</v>
      </c>
      <c r="B21">
        <v>308</v>
      </c>
      <c r="C21">
        <v>329</v>
      </c>
      <c r="D21">
        <v>344</v>
      </c>
    </row>
    <row r="22" spans="1:7" x14ac:dyDescent="0.3">
      <c r="A22" s="2" t="s">
        <v>10</v>
      </c>
      <c r="B22">
        <v>4.1000000000000002E-2</v>
      </c>
      <c r="C22">
        <v>6.8000000000000005E-2</v>
      </c>
      <c r="D22">
        <v>7.0000000000000007E-2</v>
      </c>
    </row>
    <row r="23" spans="1:7" x14ac:dyDescent="0.3">
      <c r="A23" s="2" t="s">
        <v>9</v>
      </c>
      <c r="B23">
        <v>-0.109</v>
      </c>
      <c r="C23">
        <v>-8.5999999999999993E-2</v>
      </c>
      <c r="D23">
        <v>-7.3999999999999996E-2</v>
      </c>
    </row>
    <row r="24" spans="1:7" x14ac:dyDescent="0.3">
      <c r="A24" t="s">
        <v>8</v>
      </c>
      <c r="B24">
        <f>(B22-B23)/2</f>
        <v>7.4999999999999997E-2</v>
      </c>
      <c r="C24">
        <f>(C22-C23)/2</f>
        <v>7.6999999999999999E-2</v>
      </c>
      <c r="D24">
        <f>(D22-D23)/2</f>
        <v>7.2000000000000008E-2</v>
      </c>
    </row>
    <row r="26" spans="1:7" x14ac:dyDescent="0.3">
      <c r="A26" t="s">
        <v>2</v>
      </c>
      <c r="B26">
        <f>B21</f>
        <v>308</v>
      </c>
      <c r="C26">
        <f>C21</f>
        <v>329</v>
      </c>
      <c r="D26">
        <f>D21</f>
        <v>344</v>
      </c>
    </row>
    <row r="27" spans="1:7" x14ac:dyDescent="0.3">
      <c r="A27" t="s">
        <v>13</v>
      </c>
      <c r="B27">
        <f>(B24*2*10^(-3))/(1*10^(-3)*8*10^(-3))</f>
        <v>18.75</v>
      </c>
      <c r="C27">
        <f>(C24*2*10^(-3))/(1*10^(-3)*8*10^(-3))</f>
        <v>19.25</v>
      </c>
      <c r="D27">
        <f>(D24*2*10^(-3))/(1*10^(-3)*8*10^(-3))</f>
        <v>18.000000000000004</v>
      </c>
    </row>
    <row r="28" spans="1:7" x14ac:dyDescent="0.3">
      <c r="A28" t="s">
        <v>14</v>
      </c>
      <c r="B28">
        <f>$K$4*((1)/(1.6*10^(-19)*B27))</f>
        <v>6.4333333333333325E+17</v>
      </c>
      <c r="C28">
        <f>$K$4*((1)/(1.6*10^(-19)*C27))</f>
        <v>6.2662337662337664E+17</v>
      </c>
      <c r="D28">
        <f>$K$4*((1)/(1.6*10^(-19)*D27))</f>
        <v>6.701388888888887E+17</v>
      </c>
    </row>
    <row r="29" spans="1:7" x14ac:dyDescent="0.3">
      <c r="A29" s="1" t="s">
        <v>15</v>
      </c>
      <c r="B29" s="4">
        <f>(B5*B27)/$K$4</f>
        <v>2.2079604333490348</v>
      </c>
      <c r="C29" s="4">
        <f>(C5*C27)/$K$4</f>
        <v>2.4935233160621761</v>
      </c>
      <c r="D29" s="4">
        <f>(D5*D27)/$K$4</f>
        <v>23.316062176165808</v>
      </c>
      <c r="F29" s="4"/>
      <c r="G29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Розен</dc:creator>
  <cp:lastModifiedBy>Ступин Тимур Русланович</cp:lastModifiedBy>
  <dcterms:created xsi:type="dcterms:W3CDTF">2025-03-05T14:46:42Z</dcterms:created>
  <dcterms:modified xsi:type="dcterms:W3CDTF">2025-05-28T05:11:32Z</dcterms:modified>
</cp:coreProperties>
</file>
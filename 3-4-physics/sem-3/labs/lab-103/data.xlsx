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Мой диск\ИТМО\2_курс\Физика\лабы\ЛР103\"/>
    </mc:Choice>
  </mc:AlternateContent>
  <xr:revisionPtr revIDLastSave="0" documentId="13_ncr:1_{B5241FBA-5935-4E1E-B92A-AA0B7C57E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1" i="1" l="1"/>
  <c r="Q51" i="1" s="1"/>
  <c r="P46" i="1"/>
  <c r="Q46" i="1" s="1"/>
  <c r="P47" i="1"/>
  <c r="Q47" i="1" s="1"/>
  <c r="P48" i="1"/>
  <c r="Q48" i="1" s="1"/>
  <c r="P49" i="1"/>
  <c r="Q49" i="1" s="1"/>
  <c r="P50" i="1"/>
  <c r="Q50" i="1" s="1"/>
  <c r="P45" i="1"/>
  <c r="Q45" i="1" s="1"/>
  <c r="M48" i="1"/>
  <c r="L48" i="1" s="1"/>
  <c r="M49" i="1"/>
  <c r="L49" i="1" s="1"/>
  <c r="M50" i="1"/>
  <c r="L50" i="1" s="1"/>
  <c r="M51" i="1"/>
  <c r="J53" i="1"/>
  <c r="N50" i="1" s="1"/>
  <c r="I53" i="1"/>
  <c r="M45" i="1" s="1"/>
  <c r="L19" i="1"/>
  <c r="J29" i="1"/>
  <c r="J30" i="1"/>
  <c r="J31" i="1"/>
  <c r="J32" i="1"/>
  <c r="J28" i="1"/>
  <c r="J20" i="1"/>
  <c r="J21" i="1"/>
  <c r="J22" i="1"/>
  <c r="J23" i="1"/>
  <c r="J19" i="1"/>
  <c r="J11" i="1"/>
  <c r="J12" i="1"/>
  <c r="J13" i="1"/>
  <c r="J14" i="1"/>
  <c r="J10" i="1"/>
  <c r="C29" i="1"/>
  <c r="C30" i="1"/>
  <c r="C31" i="1"/>
  <c r="C32" i="1"/>
  <c r="C28" i="1"/>
  <c r="E28" i="1" s="1"/>
  <c r="C20" i="1"/>
  <c r="C21" i="1"/>
  <c r="C22" i="1"/>
  <c r="C23" i="1"/>
  <c r="C19" i="1"/>
  <c r="E19" i="1" s="1"/>
  <c r="C11" i="1"/>
  <c r="C12" i="1"/>
  <c r="C13" i="1"/>
  <c r="C14" i="1"/>
  <c r="C10" i="1"/>
  <c r="J2" i="1"/>
  <c r="J3" i="1"/>
  <c r="J4" i="1"/>
  <c r="J5" i="1"/>
  <c r="J1" i="1"/>
  <c r="L1" i="1" s="1"/>
  <c r="C1" i="1"/>
  <c r="C2" i="1"/>
  <c r="C3" i="1"/>
  <c r="C4" i="1"/>
  <c r="E1" i="1" s="1"/>
  <c r="C5" i="1"/>
  <c r="N46" i="1" l="1"/>
  <c r="N49" i="1"/>
  <c r="N45" i="1"/>
  <c r="O45" i="1" s="1"/>
  <c r="N51" i="1"/>
  <c r="O51" i="1" s="1"/>
  <c r="N48" i="1"/>
  <c r="O48" i="1" s="1"/>
  <c r="N47" i="1"/>
  <c r="L45" i="1"/>
  <c r="O50" i="1"/>
  <c r="O49" i="1"/>
  <c r="M47" i="1"/>
  <c r="M46" i="1"/>
  <c r="L51" i="1"/>
  <c r="E10" i="1"/>
  <c r="L28" i="1"/>
  <c r="L10" i="1"/>
  <c r="O46" i="1" l="1"/>
  <c r="L46" i="1"/>
  <c r="L47" i="1"/>
  <c r="O47" i="1"/>
  <c r="I55" i="1"/>
  <c r="I57" i="1" s="1"/>
  <c r="N56" i="1" l="1"/>
  <c r="N57" i="1" s="1"/>
  <c r="N62" i="1" s="1"/>
  <c r="N64" i="1" s="1"/>
  <c r="O64" i="1" s="1"/>
</calcChain>
</file>

<file path=xl/sharedStrings.xml><?xml version="1.0" encoding="utf-8"?>
<sst xmlns="http://schemas.openxmlformats.org/spreadsheetml/2006/main" count="14" uniqueCount="13">
  <si>
    <t>a</t>
  </si>
  <si>
    <t>m</t>
  </si>
  <si>
    <t>T</t>
  </si>
  <si>
    <t>ср</t>
  </si>
  <si>
    <t>M1</t>
  </si>
  <si>
    <t>ai-aср</t>
  </si>
  <si>
    <t>Ti-Tср</t>
  </si>
  <si>
    <t>(ai-aср)*(Ti-Tср)</t>
  </si>
  <si>
    <t>(ai-aср)^2</t>
  </si>
  <si>
    <t>Fтр</t>
  </si>
  <si>
    <t>Eps</t>
  </si>
  <si>
    <t>Sm1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</si>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</sst>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  <charset val="204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164" fontId="0" fillId="0" borderId="0" xfId="0" applyNumberFormat="1"/>
    <xf numFmtId="0" fontId="1" fillId="0" borderId="0" xfId="0" applyFont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topLeftCell="A50" zoomScale="116" workbookViewId="0">
      <selection activeCell="M59" sqref="M59"/>
    </sheetView>
  </sheetViews>
  <sheetFormatPr defaultRowHeight="14.4" x14ac:dyDescent="0.3"/>
  <cols>
    <col min="5" max="5" width="9.33203125" customWidth="1"/>
    <col min="15" max="15" width="15.77734375" customWidth="1"/>
    <col min="16" max="16" width="8.88671875" customWidth="1"/>
  </cols>
  <sheetData>
    <row r="1" spans="1:12" ht="15.6" thickBot="1" x14ac:dyDescent="0.35">
      <c r="A1" s="1">
        <v>-2.4E-2</v>
      </c>
      <c r="C1" s="5">
        <f>(A1-$A$7)^2</f>
        <v>4.8999999999999992E-5</v>
      </c>
      <c r="E1" s="12">
        <f>SQRT(SUM(C1:C5)/5/4)*2.77</f>
        <v>1.2184851866149217E-2</v>
      </c>
      <c r="H1" s="2">
        <v>-7.9000000000000001E-2</v>
      </c>
      <c r="J1" s="5">
        <f>(H1-$H$7)^2</f>
        <v>1.6899999999999993E-4</v>
      </c>
      <c r="L1" s="12">
        <f>SQRT(SUM(J1:J5)/5/4)*2.77</f>
        <v>2.301768331088079E-2</v>
      </c>
    </row>
    <row r="2" spans="1:12" ht="15.6" thickBot="1" x14ac:dyDescent="0.35">
      <c r="A2" s="3">
        <v>-4.2000000000000003E-2</v>
      </c>
      <c r="C2" s="5">
        <f t="shared" ref="C2:C5" si="0">(A2-$A$7)^2</f>
        <v>1.2100000000000007E-4</v>
      </c>
      <c r="E2" s="12"/>
      <c r="H2" s="4">
        <v>-0.113</v>
      </c>
      <c r="J2" s="5">
        <f t="shared" ref="J2:J5" si="1">(H2-$H$7)^2</f>
        <v>4.410000000000002E-4</v>
      </c>
      <c r="L2" s="12"/>
    </row>
    <row r="3" spans="1:12" ht="15.6" thickBot="1" x14ac:dyDescent="0.35">
      <c r="A3" s="3">
        <v>-4.1000000000000002E-2</v>
      </c>
      <c r="C3" s="5">
        <f t="shared" si="0"/>
        <v>1.0000000000000005E-4</v>
      </c>
      <c r="E3" s="12"/>
      <c r="H3" s="4">
        <v>-0.111</v>
      </c>
      <c r="J3" s="5">
        <f t="shared" si="1"/>
        <v>3.610000000000001E-4</v>
      </c>
      <c r="L3" s="12"/>
    </row>
    <row r="4" spans="1:12" ht="15.6" thickBot="1" x14ac:dyDescent="0.35">
      <c r="A4" s="3">
        <v>-2.5000000000000001E-2</v>
      </c>
      <c r="C4" s="5">
        <f t="shared" si="0"/>
        <v>3.5999999999999981E-5</v>
      </c>
      <c r="E4" s="12"/>
      <c r="H4" s="4">
        <v>-8.1000000000000003E-2</v>
      </c>
      <c r="J4" s="5">
        <f t="shared" si="1"/>
        <v>1.2099999999999991E-4</v>
      </c>
      <c r="L4" s="12"/>
    </row>
    <row r="5" spans="1:12" ht="15.6" thickBot="1" x14ac:dyDescent="0.35">
      <c r="A5" s="3">
        <v>-2.1999999999999999E-2</v>
      </c>
      <c r="C5" s="5">
        <f t="shared" si="0"/>
        <v>8.1000000000000017E-5</v>
      </c>
      <c r="E5" s="12"/>
      <c r="H5" s="4">
        <v>-7.4999999999999997E-2</v>
      </c>
      <c r="J5" s="5">
        <f t="shared" si="1"/>
        <v>2.8900000000000003E-4</v>
      </c>
      <c r="L5" s="12"/>
    </row>
    <row r="6" spans="1:12" x14ac:dyDescent="0.3">
      <c r="E6" s="12"/>
      <c r="L6" s="12"/>
    </row>
    <row r="7" spans="1:12" x14ac:dyDescent="0.3">
      <c r="A7" s="5">
        <v>-3.1E-2</v>
      </c>
      <c r="E7" s="12"/>
      <c r="H7" s="5">
        <v>-9.1999999999999998E-2</v>
      </c>
      <c r="L7" s="12"/>
    </row>
    <row r="8" spans="1:12" x14ac:dyDescent="0.3">
      <c r="E8" s="12"/>
      <c r="L8" s="12"/>
    </row>
    <row r="9" spans="1:12" ht="15" thickBot="1" x14ac:dyDescent="0.35">
      <c r="E9" s="12"/>
      <c r="L9" s="12"/>
    </row>
    <row r="10" spans="1:12" ht="15.6" thickBot="1" x14ac:dyDescent="0.35">
      <c r="A10" s="1">
        <v>-0.45900000000000002</v>
      </c>
      <c r="C10" s="5">
        <f>(A10-$A$16)^2</f>
        <v>9.0000000000000155E-6</v>
      </c>
      <c r="E10" s="12">
        <f>SQRT(SUM(C10:C14)/5/4)*2.77</f>
        <v>9.1793219439128493E-2</v>
      </c>
      <c r="H10" s="2">
        <v>-0.67100000000000004</v>
      </c>
      <c r="J10" s="5">
        <f>(H10-$H$16)^2</f>
        <v>3.6000000000000064E-3</v>
      </c>
      <c r="L10" s="12">
        <f>SQRT(SUM(J10:J14)/5/4)*2.77</f>
        <v>8.4750231209124116E-2</v>
      </c>
    </row>
    <row r="11" spans="1:12" ht="15.6" thickBot="1" x14ac:dyDescent="0.35">
      <c r="A11" s="3">
        <v>-0.38300000000000001</v>
      </c>
      <c r="C11" s="5">
        <f t="shared" ref="C11:C14" si="2">(A11-$A$16)^2</f>
        <v>6.2410000000000026E-3</v>
      </c>
      <c r="E11" s="12"/>
      <c r="H11" s="4">
        <v>-0.57699999999999996</v>
      </c>
      <c r="J11" s="5">
        <f t="shared" ref="J11:J14" si="3">(H11-$H$16)^2</f>
        <v>1.1560000000000021E-3</v>
      </c>
      <c r="L11" s="12"/>
    </row>
    <row r="12" spans="1:12" ht="15.6" thickBot="1" x14ac:dyDescent="0.35">
      <c r="A12" s="3">
        <v>-0.57999999999999996</v>
      </c>
      <c r="C12" s="5">
        <f t="shared" si="2"/>
        <v>1.3923999999999985E-2</v>
      </c>
      <c r="E12" s="12"/>
      <c r="H12" s="4">
        <v>-0.69799999999999995</v>
      </c>
      <c r="J12" s="5">
        <f t="shared" si="3"/>
        <v>7.5689999999999941E-3</v>
      </c>
      <c r="L12" s="12"/>
    </row>
    <row r="13" spans="1:12" ht="15.6" thickBot="1" x14ac:dyDescent="0.35">
      <c r="A13" s="3">
        <v>-0.46700000000000003</v>
      </c>
      <c r="C13" s="5">
        <f t="shared" si="2"/>
        <v>2.5000000000000045E-5</v>
      </c>
      <c r="E13" s="12"/>
      <c r="H13" s="4">
        <v>-0.55200000000000005</v>
      </c>
      <c r="J13" s="5">
        <f t="shared" si="3"/>
        <v>3.4809999999999932E-3</v>
      </c>
      <c r="L13" s="12"/>
    </row>
    <row r="14" spans="1:12" ht="15.6" thickBot="1" x14ac:dyDescent="0.35">
      <c r="A14" s="3">
        <v>-0.42</v>
      </c>
      <c r="C14" s="5">
        <f t="shared" si="2"/>
        <v>1.7640000000000032E-3</v>
      </c>
      <c r="E14" s="12"/>
      <c r="H14" s="4">
        <v>-0.55700000000000005</v>
      </c>
      <c r="J14" s="5">
        <f t="shared" si="3"/>
        <v>2.9159999999999933E-3</v>
      </c>
      <c r="L14" s="12"/>
    </row>
    <row r="15" spans="1:12" x14ac:dyDescent="0.3">
      <c r="E15" s="12"/>
      <c r="L15" s="12"/>
    </row>
    <row r="16" spans="1:12" ht="15" x14ac:dyDescent="0.3">
      <c r="A16" s="6">
        <v>-0.46200000000000002</v>
      </c>
      <c r="E16" s="12"/>
      <c r="H16" s="6">
        <v>-0.61099999999999999</v>
      </c>
      <c r="L16" s="12"/>
    </row>
    <row r="17" spans="1:12" x14ac:dyDescent="0.3">
      <c r="E17" s="12"/>
      <c r="L17" s="12"/>
    </row>
    <row r="18" spans="1:12" ht="15" thickBot="1" x14ac:dyDescent="0.35">
      <c r="E18" s="12"/>
      <c r="L18" s="12"/>
    </row>
    <row r="19" spans="1:12" ht="15.6" thickBot="1" x14ac:dyDescent="0.35">
      <c r="A19" s="7">
        <v>-6.6000000000000003E-2</v>
      </c>
      <c r="C19" s="5">
        <f>(A19-$A$25)^2</f>
        <v>5.0410000000000012E-3</v>
      </c>
      <c r="E19" s="12">
        <f>SQRT(SUM(C19:C23)/5/4)*2.77</f>
        <v>8.9196580708006956E-2</v>
      </c>
      <c r="H19" s="8">
        <v>-0.56999999999999995</v>
      </c>
      <c r="J19" s="5">
        <f>(H19-$H$25)^2</f>
        <v>3.7210000000000064E-3</v>
      </c>
      <c r="L19" s="12">
        <f>SQRT(SUM(J19:J23)/5/4)*2.77</f>
        <v>7.6147294961804154E-2</v>
      </c>
    </row>
    <row r="20" spans="1:12" ht="15.6" thickBot="1" x14ac:dyDescent="0.35">
      <c r="A20" s="9">
        <v>-6.3E-2</v>
      </c>
      <c r="C20" s="5">
        <f t="shared" ref="C20:C23" si="4">(A20-$A$25)^2</f>
        <v>5.4760000000000017E-3</v>
      </c>
      <c r="E20" s="12"/>
      <c r="H20" s="10">
        <v>-0.56699999999999995</v>
      </c>
      <c r="J20" s="5">
        <f t="shared" ref="J20:J23" si="5">(H20-$H$25)^2</f>
        <v>4.0960000000000076E-3</v>
      </c>
      <c r="L20" s="12"/>
    </row>
    <row r="21" spans="1:12" ht="15.6" thickBot="1" x14ac:dyDescent="0.35">
      <c r="A21" s="9">
        <v>-0.14099999999999999</v>
      </c>
      <c r="C21" s="5">
        <f t="shared" si="4"/>
        <v>1.5999999999999806E-5</v>
      </c>
      <c r="E21" s="12"/>
      <c r="H21" s="10">
        <v>-0.63700000000000001</v>
      </c>
      <c r="J21" s="5">
        <f t="shared" si="5"/>
        <v>3.6000000000000062E-5</v>
      </c>
      <c r="L21" s="12"/>
    </row>
    <row r="22" spans="1:12" ht="15.6" thickBot="1" x14ac:dyDescent="0.35">
      <c r="A22" s="9">
        <v>-0.219</v>
      </c>
      <c r="C22" s="5">
        <f t="shared" si="4"/>
        <v>6.7239999999999982E-3</v>
      </c>
      <c r="E22" s="12"/>
      <c r="H22" s="10">
        <v>-0.7</v>
      </c>
      <c r="J22" s="5">
        <f t="shared" si="5"/>
        <v>4.7609999999999935E-3</v>
      </c>
      <c r="L22" s="12"/>
    </row>
    <row r="23" spans="1:12" ht="15.6" thickBot="1" x14ac:dyDescent="0.35">
      <c r="A23" s="9">
        <v>-0.19600000000000001</v>
      </c>
      <c r="C23" s="5">
        <f t="shared" si="4"/>
        <v>3.4809999999999997E-3</v>
      </c>
      <c r="E23" s="12"/>
      <c r="H23" s="10">
        <v>-0.68100000000000005</v>
      </c>
      <c r="J23" s="5">
        <f t="shared" si="5"/>
        <v>2.5000000000000044E-3</v>
      </c>
      <c r="L23" s="12"/>
    </row>
    <row r="24" spans="1:12" x14ac:dyDescent="0.3">
      <c r="E24" s="12"/>
      <c r="L24" s="12"/>
    </row>
    <row r="25" spans="1:12" ht="15" x14ac:dyDescent="0.3">
      <c r="A25" s="11">
        <v>-0.13700000000000001</v>
      </c>
      <c r="E25" s="12"/>
      <c r="H25" s="11">
        <v>-0.63100000000000001</v>
      </c>
      <c r="L25" s="12"/>
    </row>
    <row r="26" spans="1:12" x14ac:dyDescent="0.3">
      <c r="E26" s="12"/>
      <c r="L26" s="12"/>
    </row>
    <row r="27" spans="1:12" ht="15" thickBot="1" x14ac:dyDescent="0.35">
      <c r="E27" s="12"/>
      <c r="L27" s="12"/>
    </row>
    <row r="28" spans="1:12" ht="15.6" thickBot="1" x14ac:dyDescent="0.35">
      <c r="A28" s="7">
        <v>-0.26200000000000001</v>
      </c>
      <c r="C28" s="5">
        <f>(A28-$A$34)^2</f>
        <v>7.7440000000000044E-3</v>
      </c>
      <c r="E28" s="12">
        <f>SQRT(SUM(C28:C32)/5/4)*2.77</f>
        <v>8.3606291031237595E-2</v>
      </c>
      <c r="H28" s="8">
        <v>-0.81499999999999995</v>
      </c>
      <c r="J28" s="5">
        <f>(H28-$H$34)^2</f>
        <v>2.2089999999999935E-3</v>
      </c>
      <c r="L28" s="12">
        <f>SQRT(SUM(J28:J32)/5/4)*2.77</f>
        <v>4.6545067568970186E-2</v>
      </c>
    </row>
    <row r="29" spans="1:12" ht="15.6" thickBot="1" x14ac:dyDescent="0.35">
      <c r="A29" s="9">
        <v>-9.0999999999999998E-2</v>
      </c>
      <c r="C29" s="5">
        <f t="shared" ref="C29:C32" si="6">(A29-$A$34)^2</f>
        <v>6.8889999999999984E-3</v>
      </c>
      <c r="E29" s="12"/>
      <c r="H29" s="10">
        <v>-0.72</v>
      </c>
      <c r="J29" s="5">
        <f t="shared" ref="J29:J32" si="7">(H29-$H$34)^2</f>
        <v>2.304000000000004E-3</v>
      </c>
      <c r="L29" s="12"/>
    </row>
    <row r="30" spans="1:12" ht="15.6" thickBot="1" x14ac:dyDescent="0.35">
      <c r="A30" s="9">
        <v>-0.20499999999999999</v>
      </c>
      <c r="C30" s="5">
        <f t="shared" si="6"/>
        <v>9.6099999999999994E-4</v>
      </c>
      <c r="E30" s="12"/>
      <c r="H30" s="10">
        <v>-0.78600000000000003</v>
      </c>
      <c r="J30" s="5">
        <f t="shared" si="7"/>
        <v>3.2400000000000056E-4</v>
      </c>
      <c r="L30" s="12"/>
    </row>
    <row r="31" spans="1:12" ht="15.6" thickBot="1" x14ac:dyDescent="0.35">
      <c r="A31" s="9">
        <v>-0.125</v>
      </c>
      <c r="C31" s="5">
        <f t="shared" si="6"/>
        <v>2.4009999999999986E-3</v>
      </c>
      <c r="E31" s="12"/>
      <c r="H31" s="10">
        <v>-0.74099999999999999</v>
      </c>
      <c r="J31" s="5">
        <f t="shared" si="7"/>
        <v>7.2900000000000135E-4</v>
      </c>
      <c r="L31" s="12"/>
    </row>
    <row r="32" spans="1:12" ht="15.6" thickBot="1" x14ac:dyDescent="0.35">
      <c r="A32" s="9">
        <v>-0.189</v>
      </c>
      <c r="C32" s="5">
        <f t="shared" si="6"/>
        <v>2.250000000000004E-4</v>
      </c>
      <c r="E32" s="12"/>
      <c r="H32" s="10">
        <v>-0.77700000000000002</v>
      </c>
      <c r="J32" s="5">
        <f t="shared" si="7"/>
        <v>8.1000000000000139E-5</v>
      </c>
      <c r="L32" s="12"/>
    </row>
    <row r="33" spans="1:17" x14ac:dyDescent="0.3">
      <c r="E33" s="12"/>
    </row>
    <row r="34" spans="1:17" ht="15" x14ac:dyDescent="0.3">
      <c r="A34" s="11">
        <v>-0.17399999999999999</v>
      </c>
      <c r="H34" s="11">
        <v>-0.76800000000000002</v>
      </c>
    </row>
    <row r="44" spans="1:17" ht="15" thickBot="1" x14ac:dyDescent="0.35">
      <c r="H44" t="s">
        <v>1</v>
      </c>
      <c r="I44" t="s">
        <v>0</v>
      </c>
      <c r="J44" t="s">
        <v>2</v>
      </c>
      <c r="L44" t="s">
        <v>8</v>
      </c>
      <c r="M44" t="s">
        <v>5</v>
      </c>
      <c r="N44" t="s">
        <v>6</v>
      </c>
      <c r="O44" t="s">
        <v>7</v>
      </c>
    </row>
    <row r="45" spans="1:17" ht="16.2" thickBot="1" x14ac:dyDescent="0.35">
      <c r="H45" s="13">
        <v>1.76</v>
      </c>
      <c r="I45" s="13">
        <v>0.17899999999999999</v>
      </c>
      <c r="J45" s="13">
        <v>16.951000000000001</v>
      </c>
      <c r="L45">
        <f>M45*M45</f>
        <v>0.10993961224489796</v>
      </c>
      <c r="M45" s="15">
        <f>I45-$I$53</f>
        <v>-0.33157142857142857</v>
      </c>
      <c r="N45" s="15">
        <f>J45-$J$53</f>
        <v>-21.184714285714286</v>
      </c>
      <c r="O45" s="15">
        <f>M45*N45</f>
        <v>7.0242459795918366</v>
      </c>
      <c r="P45">
        <f>J45-($J$57+$J$55*I45)</f>
        <v>1.0843000000000007</v>
      </c>
      <c r="Q45">
        <f>P45*P45</f>
        <v>1.1757064900000016</v>
      </c>
    </row>
    <row r="46" spans="1:17" ht="16.2" thickBot="1" x14ac:dyDescent="0.35">
      <c r="H46" s="14">
        <v>2.57</v>
      </c>
      <c r="I46" s="14">
        <v>0.31900000000000001</v>
      </c>
      <c r="J46" s="14">
        <v>24.393000000000001</v>
      </c>
      <c r="L46">
        <f>M46*M46</f>
        <v>3.6699612244897956E-2</v>
      </c>
      <c r="M46" s="15">
        <f t="shared" ref="M46:M51" si="8">I46-$I$53</f>
        <v>-0.19157142857142856</v>
      </c>
      <c r="N46" s="15">
        <f t="shared" ref="N46:N51" si="9">J46-$J$53</f>
        <v>-13.742714285714285</v>
      </c>
      <c r="O46" s="15">
        <f t="shared" ref="O46:O51" si="10">M46*N46</f>
        <v>2.632711408163265</v>
      </c>
      <c r="P46">
        <f t="shared" ref="P46:P51" si="11">J46-($J$57+$J$55*I46)</f>
        <v>-0.89569999999999794</v>
      </c>
      <c r="Q46">
        <f t="shared" ref="Q46:Q51" si="12">P46*P46</f>
        <v>0.80227848999999629</v>
      </c>
    </row>
    <row r="47" spans="1:17" ht="16.2" thickBot="1" x14ac:dyDescent="0.35">
      <c r="H47" s="14">
        <v>3.43</v>
      </c>
      <c r="I47" s="14">
        <v>0.436</v>
      </c>
      <c r="J47" s="14">
        <v>32.154000000000003</v>
      </c>
      <c r="L47">
        <f t="shared" ref="L46:L51" si="13">M47*M47</f>
        <v>5.560897959183673E-3</v>
      </c>
      <c r="M47" s="15">
        <f t="shared" si="8"/>
        <v>-7.4571428571428566E-2</v>
      </c>
      <c r="N47" s="15">
        <f t="shared" si="9"/>
        <v>-5.9817142857142827</v>
      </c>
      <c r="O47" s="15">
        <f t="shared" si="10"/>
        <v>0.4460649795918365</v>
      </c>
      <c r="P47">
        <f t="shared" si="11"/>
        <v>-1.0087999999999937</v>
      </c>
      <c r="Q47">
        <f t="shared" si="12"/>
        <v>1.0176774399999873</v>
      </c>
    </row>
    <row r="48" spans="1:17" ht="16.2" thickBot="1" x14ac:dyDescent="0.35">
      <c r="H48" s="14">
        <v>4.03</v>
      </c>
      <c r="I48" s="14">
        <v>0.498</v>
      </c>
      <c r="J48" s="14">
        <v>37.526000000000003</v>
      </c>
      <c r="L48">
        <f t="shared" si="13"/>
        <v>1.5804081632653049E-4</v>
      </c>
      <c r="M48" s="15">
        <f t="shared" si="8"/>
        <v>-1.2571428571428567E-2</v>
      </c>
      <c r="N48" s="15">
        <f t="shared" si="9"/>
        <v>-0.60971428571428277</v>
      </c>
      <c r="O48" s="15">
        <f t="shared" si="10"/>
        <v>7.6649795918366948E-3</v>
      </c>
      <c r="P48">
        <f t="shared" si="11"/>
        <v>0.19060000000000343</v>
      </c>
      <c r="Q48">
        <f t="shared" si="12"/>
        <v>3.6328360000001308E-2</v>
      </c>
    </row>
    <row r="49" spans="8:17" ht="16.2" thickBot="1" x14ac:dyDescent="0.35">
      <c r="H49" s="14">
        <v>4.9000000000000004</v>
      </c>
      <c r="I49" s="14">
        <v>0.61799999999999999</v>
      </c>
      <c r="J49" s="14">
        <v>45.04</v>
      </c>
      <c r="L49">
        <f t="shared" si="13"/>
        <v>1.1540897959183673E-2</v>
      </c>
      <c r="M49" s="15">
        <f t="shared" si="8"/>
        <v>0.10742857142857143</v>
      </c>
      <c r="N49" s="15">
        <f t="shared" si="9"/>
        <v>6.904285714285713</v>
      </c>
      <c r="O49" s="15">
        <f t="shared" si="10"/>
        <v>0.74171755102040804</v>
      </c>
      <c r="P49">
        <f t="shared" si="11"/>
        <v>-0.37140000000000128</v>
      </c>
      <c r="Q49">
        <f t="shared" si="12"/>
        <v>0.13793796000000094</v>
      </c>
    </row>
    <row r="50" spans="8:17" ht="16.2" thickBot="1" x14ac:dyDescent="0.35">
      <c r="H50" s="14">
        <v>5.71</v>
      </c>
      <c r="I50" s="14">
        <v>0.70899999999999996</v>
      </c>
      <c r="J50" s="14">
        <v>51.969000000000001</v>
      </c>
      <c r="L50">
        <f t="shared" si="13"/>
        <v>3.9373897959183661E-2</v>
      </c>
      <c r="M50" s="15">
        <f t="shared" si="8"/>
        <v>0.1984285714285714</v>
      </c>
      <c r="N50" s="15">
        <f t="shared" si="9"/>
        <v>13.833285714285715</v>
      </c>
      <c r="O50" s="15">
        <f t="shared" si="10"/>
        <v>2.7449191224489793</v>
      </c>
      <c r="P50">
        <f t="shared" si="11"/>
        <v>0.43330000000000268</v>
      </c>
      <c r="Q50">
        <f t="shared" si="12"/>
        <v>0.18774889000000233</v>
      </c>
    </row>
    <row r="51" spans="8:17" ht="16.2" thickBot="1" x14ac:dyDescent="0.35">
      <c r="H51" s="14">
        <v>6.55</v>
      </c>
      <c r="I51" s="14">
        <v>0.81499999999999995</v>
      </c>
      <c r="J51" s="14">
        <v>58.917000000000002</v>
      </c>
      <c r="L51">
        <f t="shared" si="13"/>
        <v>9.2676755102040792E-2</v>
      </c>
      <c r="M51" s="15">
        <f t="shared" si="8"/>
        <v>0.30442857142857138</v>
      </c>
      <c r="N51" s="15">
        <f t="shared" si="9"/>
        <v>20.781285714285715</v>
      </c>
      <c r="O51" s="15">
        <f t="shared" si="10"/>
        <v>6.3264171224489791</v>
      </c>
      <c r="P51">
        <f>J51-($J$57+$J$55*I51)</f>
        <v>0.24750000000000938</v>
      </c>
      <c r="Q51">
        <f t="shared" si="12"/>
        <v>6.125625000000464E-2</v>
      </c>
    </row>
    <row r="52" spans="8:17" x14ac:dyDescent="0.3">
      <c r="I52" t="s">
        <v>3</v>
      </c>
      <c r="J52" t="s">
        <v>3</v>
      </c>
    </row>
    <row r="53" spans="8:17" x14ac:dyDescent="0.3">
      <c r="I53" s="12">
        <f>AVERAGE(I45:I51)</f>
        <v>0.51057142857142856</v>
      </c>
      <c r="J53" s="12">
        <f>AVERAGE(J45:J51)</f>
        <v>38.135714285714286</v>
      </c>
    </row>
    <row r="55" spans="8:17" x14ac:dyDescent="0.3">
      <c r="H55" t="s">
        <v>4</v>
      </c>
      <c r="I55">
        <f>SUM(O45:O51)/SUM(L45:L51)</f>
        <v>67.321373129025787</v>
      </c>
      <c r="J55">
        <v>67.3</v>
      </c>
    </row>
    <row r="56" spans="8:17" x14ac:dyDescent="0.3">
      <c r="N56" s="12">
        <f>SUM(Q45:Q51)/(5*SUM(L45:L51))</f>
        <v>2.3104829739415149</v>
      </c>
    </row>
    <row r="57" spans="8:17" x14ac:dyDescent="0.3">
      <c r="H57" t="s">
        <v>9</v>
      </c>
      <c r="I57">
        <f>J53-I55*I53</f>
        <v>3.7633446338374057</v>
      </c>
      <c r="J57">
        <v>3.82</v>
      </c>
      <c r="N57" s="12">
        <f>SQRT(N56)</f>
        <v>1.5200272938146588</v>
      </c>
      <c r="O57" t="s">
        <v>11</v>
      </c>
    </row>
    <row r="62" spans="8:17" x14ac:dyDescent="0.3">
      <c r="N62" s="12">
        <f>1.895*N57</f>
        <v>2.8804517217787784</v>
      </c>
      <c r="O62" t="s">
        <v>12</v>
      </c>
    </row>
    <row r="64" spans="8:17" x14ac:dyDescent="0.3">
      <c r="N64">
        <f>N62/J55</f>
        <v>4.2800174172047227E-2</v>
      </c>
      <c r="O64" s="12">
        <f>100*N64</f>
        <v>4.2800174172047223</v>
      </c>
      <c r="P64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Вова</dc:creator>
  <cp:lastModifiedBy>Ступин Тимур Русланович</cp:lastModifiedBy>
  <dcterms:created xsi:type="dcterms:W3CDTF">2015-06-05T18:19:34Z</dcterms:created>
  <dcterms:modified xsi:type="dcterms:W3CDTF">2024-12-17T10:31:51Z</dcterms:modified>
</cp:coreProperties>
</file>
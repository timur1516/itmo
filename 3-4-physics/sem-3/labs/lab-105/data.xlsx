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Мой диск\ИТМО\2_курс\Физика\лабы\ЛР105\"/>
    </mc:Choice>
  </mc:AlternateContent>
  <xr:revisionPtr revIDLastSave="0" documentId="13_ncr:1_{81C7CFDF-3D49-4DF6-B3B6-AB00DA022F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5" sheetId="5" r:id="rId2"/>
  </sheets>
  <definedNames>
    <definedName name="solver_adj" localSheetId="0" hidden="1">Лист1!$B$26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Лист1!$B$27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5" l="1"/>
  <c r="L46" i="5"/>
  <c r="C36" i="5"/>
  <c r="C35" i="5"/>
  <c r="D35" i="5"/>
  <c r="E35" i="5"/>
  <c r="F35" i="5"/>
  <c r="B35" i="5"/>
  <c r="D36" i="5"/>
  <c r="E36" i="5"/>
  <c r="F36" i="5"/>
  <c r="B36" i="5"/>
  <c r="H31" i="5"/>
  <c r="B26" i="5"/>
  <c r="B27" i="5"/>
  <c r="H28" i="5"/>
  <c r="H22" i="5"/>
  <c r="N49" i="5"/>
  <c r="M49" i="5"/>
  <c r="M47" i="5"/>
  <c r="K46" i="5"/>
  <c r="J46" i="5"/>
  <c r="H44" i="5"/>
  <c r="I44" i="5"/>
  <c r="G44" i="5"/>
  <c r="H43" i="5"/>
  <c r="I43" i="5"/>
  <c r="G43" i="5"/>
  <c r="K43" i="5"/>
  <c r="H23" i="5"/>
  <c r="F23" i="5"/>
  <c r="B28" i="5"/>
  <c r="K18" i="1"/>
  <c r="C23" i="5"/>
  <c r="D23" i="5"/>
  <c r="E23" i="5"/>
  <c r="B23" i="5"/>
  <c r="N9" i="5"/>
  <c r="J16" i="5"/>
  <c r="K16" i="5"/>
  <c r="L16" i="5"/>
  <c r="M16" i="5"/>
  <c r="N16" i="5"/>
  <c r="I16" i="5"/>
  <c r="N17" i="5"/>
  <c r="L17" i="5"/>
  <c r="E14" i="1"/>
  <c r="F13" i="1"/>
  <c r="G13" i="1"/>
  <c r="H13" i="1"/>
  <c r="I13" i="1"/>
  <c r="J13" i="1"/>
  <c r="E13" i="1"/>
  <c r="K9" i="5"/>
  <c r="C7" i="5"/>
  <c r="D7" i="5"/>
  <c r="E7" i="5"/>
  <c r="F7" i="5"/>
  <c r="G7" i="5"/>
  <c r="B12" i="5"/>
  <c r="B7" i="5"/>
  <c r="C6" i="5"/>
  <c r="D6" i="5"/>
  <c r="E6" i="5"/>
  <c r="F6" i="5"/>
  <c r="G6" i="5"/>
  <c r="B6" i="5"/>
  <c r="G10" i="5"/>
  <c r="G12" i="5"/>
  <c r="C13" i="5"/>
  <c r="D13" i="5"/>
  <c r="E13" i="5"/>
  <c r="F13" i="5"/>
  <c r="G13" i="5"/>
  <c r="B13" i="5"/>
  <c r="C12" i="5"/>
  <c r="D12" i="5"/>
  <c r="E12" i="5"/>
  <c r="F12" i="5"/>
  <c r="C11" i="5"/>
  <c r="D11" i="5"/>
  <c r="E11" i="5"/>
  <c r="F11" i="5"/>
  <c r="G11" i="5"/>
  <c r="B11" i="5"/>
  <c r="E10" i="5"/>
  <c r="C10" i="5"/>
  <c r="D10" i="5"/>
  <c r="F10" i="5"/>
  <c r="B10" i="5"/>
  <c r="I3" i="5"/>
  <c r="C3" i="5"/>
  <c r="D3" i="5"/>
  <c r="E3" i="5"/>
  <c r="F3" i="5"/>
  <c r="G3" i="5"/>
  <c r="B3" i="5"/>
  <c r="I1" i="5"/>
  <c r="J11" i="1"/>
  <c r="F11" i="1"/>
  <c r="E11" i="1"/>
  <c r="G11" i="1"/>
  <c r="H11" i="1"/>
  <c r="I11" i="1"/>
  <c r="M13" i="1"/>
  <c r="V34" i="1"/>
  <c r="H32" i="5" l="1"/>
  <c r="H37" i="5" s="1"/>
  <c r="I38" i="5" s="1"/>
  <c r="C28" i="5"/>
  <c r="D28" i="5"/>
  <c r="F28" i="5"/>
  <c r="E28" i="5"/>
  <c r="K17" i="5"/>
  <c r="M17" i="5"/>
  <c r="J17" i="5"/>
  <c r="I17" i="5"/>
  <c r="K6" i="5"/>
  <c r="K7" i="5" s="1"/>
  <c r="M23" i="1"/>
  <c r="M24" i="1" s="1"/>
  <c r="E26" i="5" l="1"/>
  <c r="E27" i="5" s="1"/>
  <c r="E29" i="5"/>
  <c r="B29" i="5"/>
  <c r="D26" i="5"/>
  <c r="C26" i="5"/>
  <c r="F26" i="5"/>
  <c r="AI11" i="1"/>
  <c r="AJ3" i="1"/>
  <c r="AJ4" i="1"/>
  <c r="AJ5" i="1"/>
  <c r="AJ6" i="1"/>
  <c r="AJ7" i="1"/>
  <c r="AJ2" i="1"/>
  <c r="N23" i="1"/>
  <c r="N24" i="1" s="1"/>
  <c r="O23" i="1"/>
  <c r="O24" i="1" s="1"/>
  <c r="P23" i="1"/>
  <c r="P24" i="1" s="1"/>
  <c r="Q23" i="1"/>
  <c r="Q24" i="1" s="1"/>
  <c r="R23" i="1"/>
  <c r="R24" i="1" s="1"/>
  <c r="B29" i="1"/>
  <c r="B8" i="1"/>
  <c r="B19" i="1"/>
  <c r="F27" i="5" l="1"/>
  <c r="F29" i="5"/>
  <c r="C29" i="5"/>
  <c r="C27" i="5"/>
  <c r="D27" i="5"/>
  <c r="D29" i="5"/>
  <c r="E12" i="1"/>
  <c r="F12" i="1"/>
  <c r="G12" i="1"/>
  <c r="H12" i="1"/>
  <c r="I12" i="1"/>
  <c r="J12" i="1"/>
  <c r="J51" i="1"/>
  <c r="I51" i="1"/>
  <c r="E51" i="1"/>
  <c r="H51" i="1"/>
  <c r="G51" i="1"/>
  <c r="F51" i="1"/>
  <c r="H29" i="5" l="1"/>
  <c r="K19" i="1"/>
  <c r="B12" i="1" a="1"/>
  <c r="B12" i="1" s="1"/>
  <c r="E52" i="1"/>
  <c r="O10" i="1"/>
  <c r="H18" i="1"/>
  <c r="E32" i="1" s="1"/>
  <c r="F32" i="1" s="1"/>
  <c r="G32" i="1" s="1"/>
  <c r="H32" i="1" s="1"/>
  <c r="H19" i="1"/>
  <c r="E33" i="1" s="1"/>
  <c r="F33" i="1" s="1"/>
  <c r="G33" i="1" s="1"/>
  <c r="H33" i="1" s="1"/>
  <c r="H20" i="1"/>
  <c r="E34" i="1" s="1"/>
  <c r="F34" i="1" s="1"/>
  <c r="G34" i="1" s="1"/>
  <c r="H34" i="1" s="1"/>
  <c r="H21" i="1"/>
  <c r="I21" i="1" s="1"/>
  <c r="H22" i="1"/>
  <c r="H17" i="1"/>
  <c r="I34" i="5" l="1"/>
  <c r="I22" i="1"/>
  <c r="E36" i="1"/>
  <c r="F36" i="1" s="1"/>
  <c r="G36" i="1" s="1"/>
  <c r="E31" i="1"/>
  <c r="F31" i="1" s="1"/>
  <c r="G31" i="1" s="1"/>
  <c r="H31" i="1" s="1"/>
  <c r="I17" i="1"/>
  <c r="A12" i="1" s="1"/>
  <c r="I19" i="1"/>
  <c r="I18" i="1"/>
  <c r="A13" i="1" s="1"/>
  <c r="A16" i="1"/>
  <c r="I20" i="1"/>
  <c r="E35" i="1"/>
  <c r="F35" i="1" s="1"/>
  <c r="G35" i="1" s="1"/>
  <c r="H35" i="1" s="1"/>
  <c r="A17" i="1" l="1"/>
  <c r="G14" i="1"/>
  <c r="G52" i="1"/>
  <c r="I14" i="1"/>
  <c r="I52" i="1"/>
  <c r="F14" i="1"/>
  <c r="F52" i="1"/>
  <c r="U35" i="1" a="1"/>
  <c r="U35" i="1" s="1"/>
  <c r="V35" i="1" s="1"/>
  <c r="V37" i="1" s="1"/>
  <c r="V38" i="1" s="1"/>
  <c r="V36" i="1" s="1"/>
  <c r="V39" i="1" s="1"/>
  <c r="J14" i="1"/>
  <c r="J52" i="1"/>
  <c r="H14" i="1"/>
  <c r="H52" i="1"/>
  <c r="F45" i="1"/>
  <c r="F46" i="1"/>
  <c r="G46" i="1"/>
  <c r="F47" i="1"/>
  <c r="G47" i="1" s="1"/>
  <c r="F43" i="1"/>
  <c r="G43" i="1" s="1"/>
  <c r="F44" i="1"/>
  <c r="H36" i="1"/>
  <c r="F48" i="1"/>
  <c r="G48" i="1" s="1"/>
  <c r="A14" i="1"/>
  <c r="A15" i="1"/>
  <c r="A20" i="1" a="1"/>
  <c r="A20" i="1" s="1"/>
  <c r="B20" i="1" s="1"/>
  <c r="G45" i="1"/>
  <c r="G44" i="1" l="1"/>
  <c r="B33" i="1"/>
  <c r="V40" i="1"/>
  <c r="J5" i="1"/>
  <c r="I25" i="1" s="1"/>
  <c r="I26" i="1" s="1"/>
  <c r="I27" i="1" s="1"/>
  <c r="I28" i="1" s="1"/>
  <c r="I5" i="1"/>
  <c r="H25" i="1" s="1"/>
  <c r="H26" i="1" s="1"/>
  <c r="H27" i="1" s="1"/>
  <c r="H28" i="1" s="1"/>
  <c r="H5" i="1"/>
  <c r="G25" i="1" s="1"/>
  <c r="G26" i="1" s="1"/>
  <c r="G27" i="1" s="1"/>
  <c r="G28" i="1" s="1"/>
  <c r="G5" i="1"/>
  <c r="F25" i="1" s="1"/>
  <c r="F26" i="1" s="1"/>
  <c r="F27" i="1" s="1"/>
  <c r="F28" i="1" s="1"/>
  <c r="F5" i="1"/>
  <c r="E25" i="1" s="1"/>
  <c r="E26" i="1" s="1"/>
  <c r="E27" i="1" s="1"/>
  <c r="E28" i="1" s="1"/>
  <c r="E5" i="1"/>
  <c r="B4" i="1" l="1"/>
  <c r="B6" i="1" s="1"/>
  <c r="M14" i="1" l="1"/>
  <c r="O13" i="1" l="1"/>
  <c r="B25" i="1" s="1"/>
  <c r="B24" i="1" s="1"/>
  <c r="B23" i="1" s="1"/>
  <c r="B22" i="1" s="1"/>
  <c r="B21" i="1" s="1"/>
  <c r="B31" i="1" s="1"/>
  <c r="O17" i="1"/>
  <c r="O16" i="1"/>
  <c r="O15" i="1"/>
  <c r="B27" i="1" l="1"/>
  <c r="B34" i="1" s="1"/>
  <c r="M15" i="1"/>
  <c r="O18" i="1"/>
  <c r="M9" i="1"/>
  <c r="M10" i="1" s="1"/>
  <c r="B39" i="1" l="1"/>
  <c r="C39" i="1" s="1"/>
  <c r="B41" i="1"/>
  <c r="C41" i="1" s="1"/>
  <c r="B43" i="1"/>
  <c r="C43" i="1" s="1"/>
  <c r="B40" i="1"/>
  <c r="C40" i="1" s="1"/>
  <c r="B44" i="1"/>
  <c r="C44" i="1" s="1"/>
  <c r="B42" i="1"/>
  <c r="C42" i="1" s="1"/>
  <c r="O14" i="1"/>
  <c r="O19" i="1" s="1"/>
  <c r="O9" i="1"/>
  <c r="H39" i="1" l="1"/>
  <c r="H40" i="1" s="1"/>
  <c r="E39" i="1"/>
  <c r="E40" i="1" s="1"/>
  <c r="F39" i="1"/>
  <c r="F40" i="1" s="1"/>
  <c r="G39" i="1"/>
  <c r="G40" i="1" s="1"/>
  <c r="J39" i="1"/>
  <c r="O20" i="1"/>
  <c r="I39" i="1"/>
  <c r="I40" i="1" s="1"/>
  <c r="C33" i="1"/>
  <c r="C34" i="1" s="1"/>
  <c r="J55" i="1" l="1"/>
  <c r="J56" i="1" s="1"/>
  <c r="E55" i="1"/>
  <c r="E56" i="1" s="1"/>
  <c r="H55" i="1"/>
  <c r="H56" i="1" s="1"/>
  <c r="I55" i="1"/>
  <c r="I56" i="1" s="1"/>
  <c r="A47" i="1"/>
  <c r="G55" i="1"/>
  <c r="G56" i="1" s="1"/>
  <c r="F55" i="1"/>
  <c r="F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<sst xmlns="http://schemas.openxmlformats.org/spreadsheetml/2006/main" count="154" uniqueCount="90">
  <si>
    <t>t</t>
  </si>
  <si>
    <r>
      <t>t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</si>
  <si>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</si>
  <si>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3</t>
    </r>
  </si>
  <si>
    <t>Положение боковых грузов</t>
  </si>
  <si>
    <t>Амплитуда отклонения Время</t>
  </si>
  <si>
    <r>
      <t>20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</si>
  <si>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25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</si>
  <si>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15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</si>
  <si>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10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</si>
  <si>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5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</si>
  <si>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30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</si>
  <si>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t</t>
    </r>
    <r>
      <rPr>
        <b/>
        <sz val="11"/>
        <color rgb="FF000000"/>
        <rFont val="Cambria"/>
        <family val="1"/>
        <charset val="204"/>
      </rPr>
      <t>¯</t>
    </r>
  </si>
  <si>
    <t>T</t>
  </si>
  <si>
    <t>N</t>
  </si>
  <si>
    <t>А</t>
  </si>
  <si>
    <t>ϕ</t>
  </si>
  <si>
    <t>dR</t>
  </si>
  <si>
    <t>∆ϕ</t>
  </si>
  <si>
    <t>n</t>
  </si>
  <si>
    <r>
      <t>R</t>
    </r>
    <r>
      <rPr>
        <vertAlign val="subscript"/>
        <sz val="12"/>
        <color theme="1"/>
        <rFont val="Times New Roman"/>
        <family val="1"/>
        <charset val="204"/>
      </rPr>
      <t>верх</t>
    </r>
  </si>
  <si>
    <r>
      <t>R</t>
    </r>
    <r>
      <rPr>
        <vertAlign val="subscript"/>
        <sz val="12"/>
        <color theme="1"/>
        <rFont val="Times New Roman"/>
        <family val="1"/>
        <charset val="204"/>
      </rPr>
      <t>нижн</t>
    </r>
  </si>
  <si>
    <r>
      <t>R</t>
    </r>
    <r>
      <rPr>
        <vertAlign val="subscript"/>
        <sz val="12"/>
        <color theme="1"/>
        <rFont val="Times New Roman"/>
        <family val="1"/>
        <charset val="204"/>
      </rPr>
      <t>бок</t>
    </r>
  </si>
  <si>
    <r>
      <t>I</t>
    </r>
    <r>
      <rPr>
        <vertAlign val="subscript"/>
        <sz val="12"/>
        <color theme="1"/>
        <rFont val="Times New Roman"/>
        <family val="1"/>
        <charset val="204"/>
      </rPr>
      <t>гр</t>
    </r>
  </si>
  <si>
    <t>Риски</t>
  </si>
  <si>
    <t>I</t>
  </si>
  <si>
    <r>
      <t>l</t>
    </r>
    <r>
      <rPr>
        <vertAlign val="subscript"/>
        <sz val="12"/>
        <color theme="1"/>
        <rFont val="Times New Roman"/>
        <family val="1"/>
        <charset val="204"/>
      </rPr>
      <t>пр эксп</t>
    </r>
  </si>
  <si>
    <r>
      <t>l</t>
    </r>
    <r>
      <rPr>
        <vertAlign val="subscript"/>
        <sz val="12"/>
        <color theme="1"/>
        <rFont val="Times New Roman"/>
        <family val="1"/>
        <charset val="204"/>
      </rPr>
      <t>пр теор</t>
    </r>
  </si>
  <si>
    <r>
      <t>I</t>
    </r>
    <r>
      <rPr>
        <vertAlign val="subscript"/>
        <sz val="12"/>
        <color theme="1"/>
        <rFont val="Times New Roman"/>
        <family val="1"/>
        <charset val="204"/>
      </rPr>
      <t>0</t>
    </r>
  </si>
  <si>
    <r>
      <t>m</t>
    </r>
    <r>
      <rPr>
        <vertAlign val="subscript"/>
        <sz val="12"/>
        <color theme="1"/>
        <rFont val="Times New Roman"/>
        <family val="1"/>
        <charset val="204"/>
      </rPr>
      <t>гр</t>
    </r>
  </si>
  <si>
    <t>1 риска</t>
  </si>
  <si>
    <t>2 риски</t>
  </si>
  <si>
    <t>3 риски</t>
  </si>
  <si>
    <t>4 риски</t>
  </si>
  <si>
    <t>5 рисок</t>
  </si>
  <si>
    <t>6 рисок</t>
  </si>
  <si>
    <r>
      <t>T</t>
    </r>
    <r>
      <rPr>
        <b/>
        <vertAlign val="superscript"/>
        <sz val="12"/>
        <color theme="1"/>
        <rFont val="Times New Roman"/>
        <family val="1"/>
        <charset val="204"/>
      </rPr>
      <t>2</t>
    </r>
  </si>
  <si>
    <t>ml</t>
  </si>
  <si>
    <t>S</t>
  </si>
  <si>
    <t>l</t>
  </si>
  <si>
    <t>Если сухое</t>
  </si>
  <si>
    <t>ln(A/A0)</t>
  </si>
  <si>
    <t>β</t>
  </si>
  <si>
    <t>θ</t>
  </si>
  <si>
    <t>Если вязкое</t>
  </si>
  <si>
    <t>dt</t>
  </si>
  <si>
    <t>St</t>
  </si>
  <si>
    <t>dt¯</t>
  </si>
  <si>
    <r>
      <rPr>
        <sz val="12"/>
        <color theme="1"/>
        <rFont val="Calibri"/>
        <family val="2"/>
        <charset val="204"/>
      </rPr>
      <t>ε</t>
    </r>
    <r>
      <rPr>
        <sz val="12"/>
        <color theme="1"/>
        <rFont val="Times New Roman"/>
        <family val="1"/>
        <charset val="204"/>
      </rPr>
      <t>t</t>
    </r>
  </si>
  <si>
    <t>Амплитуда отклонения Погрешности (время)</t>
  </si>
  <si>
    <t>ln(A/A0)¯</t>
  </si>
  <si>
    <r>
      <t>d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</si>
  <si>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</si>
  <si>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</si>
  <si>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4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</si>
  <si>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5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</si>
  <si>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6</t>
    </r>
  </si>
  <si>
    <t>dln(A/A0)</t>
  </si>
  <si>
    <t>Sb^2</t>
  </si>
  <si>
    <t>Всё-таки вязкое</t>
  </si>
  <si>
    <t>d(ml)</t>
  </si>
  <si>
    <t>4p2/mgl</t>
  </si>
  <si>
    <t>d(4p2/mgl)</t>
  </si>
  <si>
    <t>dT2</t>
  </si>
  <si>
    <t>eT2</t>
  </si>
  <si>
    <t>Амплитуда отклонения Погрешности (декремент)</t>
  </si>
  <si>
    <t>eln(A/A0)</t>
  </si>
  <si>
    <r>
      <t>dl</t>
    </r>
    <r>
      <rPr>
        <vertAlign val="subscript"/>
        <sz val="12"/>
        <color theme="1"/>
        <rFont val="Times New Roman"/>
        <family val="1"/>
        <charset val="204"/>
      </rPr>
      <t>пр эксп</t>
    </r>
  </si>
  <si>
    <r>
      <t>el</t>
    </r>
    <r>
      <rPr>
        <vertAlign val="subscript"/>
        <sz val="12"/>
        <color theme="1"/>
        <rFont val="Times New Roman"/>
        <family val="1"/>
        <charset val="204"/>
      </rPr>
      <t>пр эксп</t>
    </r>
  </si>
  <si>
    <t>eR</t>
  </si>
  <si>
    <t>dI</t>
  </si>
  <si>
    <t>eI</t>
  </si>
  <si>
    <r>
      <t>dl</t>
    </r>
    <r>
      <rPr>
        <vertAlign val="subscript"/>
        <sz val="12"/>
        <color theme="1"/>
        <rFont val="Times New Roman"/>
        <family val="1"/>
        <charset val="204"/>
      </rPr>
      <t>пр теор</t>
    </r>
  </si>
  <si>
    <r>
      <t>el</t>
    </r>
    <r>
      <rPr>
        <vertAlign val="subscript"/>
        <sz val="12"/>
        <color theme="1"/>
        <rFont val="Times New Roman"/>
        <family val="1"/>
        <charset val="204"/>
      </rPr>
      <t>пр теор</t>
    </r>
  </si>
  <si>
    <t>ln A</t>
  </si>
  <si>
    <t>tg a2</t>
  </si>
  <si>
    <t>b2</t>
  </si>
  <si>
    <t>T2</t>
  </si>
  <si>
    <t>g</t>
  </si>
  <si>
    <t>b</t>
  </si>
  <si>
    <t>a</t>
  </si>
  <si>
    <t>l_теор</t>
  </si>
  <si>
    <t>l_эксп</t>
  </si>
  <si>
    <t>A_ср</t>
  </si>
  <si>
    <t>t_ср</t>
  </si>
  <si>
    <t>a0</t>
  </si>
  <si>
    <t>bb</t>
  </si>
  <si>
    <t>D</t>
  </si>
  <si>
    <t>d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</si>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</sst>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0"/>
    <numFmt numFmtId="165" formatCode="0.0000"/>
    <numFmt numFmtId="166" formatCode="0.000"/>
    <numFmt numFmtId="167" formatCode="0.0"/>
    <numFmt numFmtId="168" formatCode="0.0000000"/>
    <numFmt numFmtId="169" formatCode="0.0000000000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vertAlign val="superscript"/>
      <sz val="11"/>
      <color rgb="FF000000"/>
      <name val="Cambria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1"/>
      <color rgb="FF000000"/>
      <name val="Cambria"/>
      <family val="1"/>
      <charset val="204"/>
    </font>
    <font>
      <b/>
      <sz val="11"/>
      <color rgb="FF000000"/>
      <name val="Cambria"/>
      <family val="1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8"/>
      <name val="Calibri"/>
      <family val="2"/>
      <charset val="204"/>
      <scheme val="minor"/>
    </font>
    <font>
      <b/>
      <vertAlign val="superscript"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2F3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4" fillId="3" borderId="3" xfId="0" applyFont="1" applyFill="1" applyBorder="1"/>
    <xf numFmtId="0" fontId="0" fillId="0" borderId="3" xfId="0" applyBorder="1"/>
    <xf numFmtId="2" fontId="0" fillId="0" borderId="3" xfId="0" applyNumberFormat="1" applyBorder="1"/>
    <xf numFmtId="0" fontId="4" fillId="0" borderId="0" xfId="0" applyFont="1"/>
    <xf numFmtId="0" fontId="0" fillId="0" borderId="4" xfId="0" applyBorder="1"/>
    <xf numFmtId="0" fontId="6" fillId="3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/>
    </xf>
    <xf numFmtId="2" fontId="0" fillId="0" borderId="4" xfId="0" applyNumberFormat="1" applyBorder="1"/>
    <xf numFmtId="0" fontId="9" fillId="3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/>
    </xf>
    <xf numFmtId="2" fontId="12" fillId="0" borderId="1" xfId="0" applyNumberFormat="1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/>
    <xf numFmtId="0" fontId="2" fillId="0" borderId="6" xfId="0" applyFont="1" applyBorder="1" applyAlignment="1">
      <alignment horizontal="center" vertical="center"/>
    </xf>
    <xf numFmtId="0" fontId="0" fillId="0" borderId="6" xfId="0" applyBorder="1"/>
    <xf numFmtId="166" fontId="12" fillId="0" borderId="1" xfId="0" applyNumberFormat="1" applyFont="1" applyBorder="1"/>
    <xf numFmtId="164" fontId="12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1" fillId="3" borderId="9" xfId="0" applyFont="1" applyFill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1" fontId="0" fillId="0" borderId="13" xfId="0" applyNumberFormat="1" applyBorder="1"/>
    <xf numFmtId="0" fontId="0" fillId="0" borderId="14" xfId="0" applyBorder="1" applyAlignment="1">
      <alignment horizontal="right"/>
    </xf>
    <xf numFmtId="0" fontId="10" fillId="3" borderId="10" xfId="0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168" fontId="0" fillId="0" borderId="1" xfId="0" applyNumberFormat="1" applyBorder="1"/>
    <xf numFmtId="166" fontId="0" fillId="0" borderId="3" xfId="0" applyNumberFormat="1" applyBorder="1"/>
    <xf numFmtId="166" fontId="0" fillId="0" borderId="0" xfId="0" applyNumberFormat="1"/>
    <xf numFmtId="0" fontId="6" fillId="0" borderId="4" xfId="0" applyFont="1" applyBorder="1" applyAlignment="1">
      <alignment horizontal="center" vertical="center"/>
    </xf>
    <xf numFmtId="166" fontId="0" fillId="0" borderId="4" xfId="0" applyNumberFormat="1" applyBorder="1"/>
    <xf numFmtId="0" fontId="16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2" xfId="0" applyNumberFormat="1" applyBorder="1"/>
    <xf numFmtId="11" fontId="0" fillId="0" borderId="15" xfId="0" applyNumberFormat="1" applyBorder="1"/>
    <xf numFmtId="167" fontId="0" fillId="0" borderId="11" xfId="0" applyNumberFormat="1" applyBorder="1"/>
    <xf numFmtId="0" fontId="9" fillId="3" borderId="7" xfId="0" applyFont="1" applyFill="1" applyBorder="1" applyAlignment="1">
      <alignment horizontal="center" vertical="center"/>
    </xf>
    <xf numFmtId="2" fontId="0" fillId="0" borderId="7" xfId="0" applyNumberFormat="1" applyBorder="1"/>
    <xf numFmtId="169" fontId="0" fillId="0" borderId="1" xfId="0" applyNumberFormat="1" applyBorder="1"/>
    <xf numFmtId="0" fontId="1" fillId="0" borderId="0" xfId="0" applyFont="1"/>
    <xf numFmtId="0" fontId="2" fillId="3" borderId="7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1" fontId="12" fillId="0" borderId="1" xfId="0" applyNumberFormat="1" applyFont="1" applyBorder="1" applyAlignment="1">
      <alignment wrapText="1"/>
    </xf>
    <xf numFmtId="0" fontId="10" fillId="3" borderId="16" xfId="0" applyFont="1" applyFill="1" applyBorder="1" applyAlignment="1">
      <alignment horizontal="right"/>
    </xf>
    <xf numFmtId="165" fontId="0" fillId="0" borderId="0" xfId="0" applyNumberFormat="1"/>
    <xf numFmtId="165" fontId="0" fillId="0" borderId="6" xfId="0" applyNumberFormat="1" applyBorder="1"/>
    <xf numFmtId="165" fontId="0" fillId="0" borderId="5" xfId="0" applyNumberFormat="1" applyBorder="1"/>
    <xf numFmtId="0" fontId="0" fillId="0" borderId="0" xfId="0" applyAlignment="1">
      <alignment horizontal="right" vertical="center"/>
    </xf>
    <xf numFmtId="165" fontId="0" fillId="0" borderId="18" xfId="0" applyNumberFormat="1" applyBorder="1"/>
    <xf numFmtId="164" fontId="0" fillId="0" borderId="7" xfId="0" applyNumberFormat="1" applyBorder="1"/>
    <xf numFmtId="0" fontId="4" fillId="0" borderId="1" xfId="0" applyFont="1" applyBorder="1"/>
    <xf numFmtId="0" fontId="4" fillId="0" borderId="17" xfId="0" applyFont="1" applyBorder="1"/>
    <xf numFmtId="2" fontId="0" fillId="0" borderId="0" xfId="0" applyNumberFormat="1"/>
    <xf numFmtId="2" fontId="12" fillId="0" borderId="1" xfId="0" applyNumberFormat="1" applyFont="1" applyBorder="1"/>
    <xf numFmtId="2" fontId="2" fillId="3" borderId="1" xfId="0" applyNumberFormat="1" applyFont="1" applyFill="1" applyBorder="1" applyAlignment="1">
      <alignment horizontal="center" vertical="center"/>
    </xf>
    <xf numFmtId="166" fontId="0" fillId="0" borderId="0" xfId="1" applyNumberFormat="1" applyFont="1"/>
    <xf numFmtId="2" fontId="12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</a:t>
            </a:r>
            <a:r>
              <a:rPr lang="en-US" b="1" baseline="0"/>
              <a:t>A(t) 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Лист1!$M$2:$M$7</c:f>
              <c:numCache>
                <c:formatCode>General</c:formatCode>
                <c:ptCount val="6"/>
                <c:pt idx="0">
                  <c:v>0</c:v>
                </c:pt>
                <c:pt idx="1">
                  <c:v>48.146666670000002</c:v>
                </c:pt>
                <c:pt idx="2">
                  <c:v>87.553333330000001</c:v>
                </c:pt>
                <c:pt idx="3">
                  <c:v>131.28666670000001</c:v>
                </c:pt>
                <c:pt idx="4">
                  <c:v>190.16333330000001</c:v>
                </c:pt>
                <c:pt idx="5">
                  <c:v>252.7333333</c:v>
                </c:pt>
              </c:numCache>
            </c:numRef>
          </c:xVal>
          <c:yVal>
            <c:numRef>
              <c:f>Лист1!$N$2:$N$7</c:f>
              <c:numCache>
                <c:formatCode>General</c:formatCode>
                <c:ptCount val="6"/>
                <c:pt idx="0">
                  <c:v>0.13</c:v>
                </c:pt>
                <c:pt idx="1">
                  <c:v>0.12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3-4C01-A837-4C8CC9BE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95440"/>
        <c:axId val="429732552"/>
      </c:scatterChart>
      <c:valAx>
        <c:axId val="429695440"/>
        <c:scaling>
          <c:orientation val="minMax"/>
          <c:max val="3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32552"/>
        <c:crosses val="autoZero"/>
        <c:crossBetween val="midCat"/>
        <c:majorUnit val="10"/>
      </c:valAx>
      <c:valAx>
        <c:axId val="429732552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9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График </a:t>
            </a:r>
            <a:r>
              <a:rPr lang="en-US" sz="1800" b="1">
                <a:effectLst/>
              </a:rPr>
              <a:t>T</a:t>
            </a:r>
            <a:r>
              <a:rPr lang="en-US" sz="1800" b="1" baseline="30000">
                <a:effectLst/>
              </a:rPr>
              <a:t>2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(I) </a:t>
            </a:r>
            <a:endParaRPr lang="ru-RU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66360384139708E-2"/>
          <c:y val="0.11899594632566088"/>
          <c:w val="0.87064463095959155"/>
          <c:h val="0.82757949779594908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Лист1!$A$11</c:f>
              <c:strCache>
                <c:ptCount val="1"/>
                <c:pt idx="0">
                  <c:v>T2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Лист1!$B$12:$B$17</c:f>
              <c:numCache>
                <c:formatCode>General</c:formatCode>
                <c:ptCount val="6"/>
                <c:pt idx="0" formatCode="0.0000">
                  <c:v>3.1905128000000005E-2</c:v>
                </c:pt>
                <c:pt idx="1">
                  <c:v>3.5556727999999996E-2</c:v>
                </c:pt>
                <c:pt idx="2">
                  <c:v>4.0228328000000001E-2</c:v>
                </c:pt>
                <c:pt idx="3">
                  <c:v>4.5919927999999999E-2</c:v>
                </c:pt>
                <c:pt idx="4">
                  <c:v>5.2631527999999997E-2</c:v>
                </c:pt>
                <c:pt idx="5">
                  <c:v>6.0363128000000016E-2</c:v>
                </c:pt>
              </c:numCache>
            </c:numRef>
          </c:xVal>
          <c:yVal>
            <c:numRef>
              <c:f>Лист1!$A$12:$A$17</c:f>
              <c:numCache>
                <c:formatCode>0.000</c:formatCode>
                <c:ptCount val="6"/>
                <c:pt idx="0">
                  <c:v>2.6254801111111097</c:v>
                </c:pt>
                <c:pt idx="1">
                  <c:v>2.9813777777777775</c:v>
                </c:pt>
                <c:pt idx="2">
                  <c:v>3.2785137777777784</c:v>
                </c:pt>
                <c:pt idx="3">
                  <c:v>3.8064010000000001</c:v>
                </c:pt>
                <c:pt idx="4">
                  <c:v>4.4254134444444428</c:v>
                </c:pt>
                <c:pt idx="5">
                  <c:v>4.98033611111111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1-44E3-BF93-B830B5EE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34584"/>
        <c:axId val="430487976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Лист1!$A$20:$A$25</c:f>
              <c:numCache>
                <c:formatCode>0.0000</c:formatCode>
                <c:ptCount val="6"/>
                <c:pt idx="0">
                  <c:v>3.1905128000000005E-2</c:v>
                </c:pt>
                <c:pt idx="1">
                  <c:v>3.5556727999999996E-2</c:v>
                </c:pt>
                <c:pt idx="2">
                  <c:v>4.0228328000000001E-2</c:v>
                </c:pt>
                <c:pt idx="3">
                  <c:v>4.5919927999999999E-2</c:v>
                </c:pt>
                <c:pt idx="4">
                  <c:v>5.2631527999999997E-2</c:v>
                </c:pt>
                <c:pt idx="5">
                  <c:v>6.0363128000000016E-2</c:v>
                </c:pt>
              </c:numCache>
            </c:numRef>
          </c:xVal>
          <c:yVal>
            <c:numRef>
              <c:f>Лист1!$B$20:$B$25</c:f>
              <c:numCache>
                <c:formatCode>General</c:formatCode>
                <c:ptCount val="6"/>
                <c:pt idx="0">
                  <c:v>2.2369437068545652</c:v>
                </c:pt>
                <c:pt idx="1">
                  <c:v>2.4929659876600239</c:v>
                </c:pt>
                <c:pt idx="2">
                  <c:v>2.8205028720424279</c:v>
                </c:pt>
                <c:pt idx="3">
                  <c:v>3.2195543600017755</c:v>
                </c:pt>
                <c:pt idx="4">
                  <c:v>3.6901204515380663</c:v>
                </c:pt>
                <c:pt idx="5">
                  <c:v>4.2322011466513025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91-44E3-BF93-B830B5EE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34584"/>
        <c:axId val="430487976"/>
      </c:scatterChart>
      <c:valAx>
        <c:axId val="431234584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87976"/>
        <c:crosses val="autoZero"/>
        <c:crossBetween val="midCat"/>
        <c:majorUnit val="0.01"/>
      </c:valAx>
      <c:valAx>
        <c:axId val="43048797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3458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ln(A/A0)</a:t>
            </a:r>
            <a:r>
              <a:rPr lang="en-US" sz="1400" b="1" i="0" u="none" strike="noStrike" baseline="0">
                <a:effectLst/>
              </a:rPr>
              <a:t>=-</a:t>
            </a:r>
            <a:r>
              <a:rPr lang="el-GR" sz="1400" b="1" i="0" u="none" strike="noStrike" baseline="0">
                <a:effectLst/>
              </a:rPr>
              <a:t>β</a:t>
            </a:r>
            <a:r>
              <a:rPr lang="en-US" sz="1400" b="1" i="0" u="none" strike="noStrike" baseline="0">
                <a:effectLst/>
              </a:rPr>
              <a:t>t</a:t>
            </a:r>
            <a:r>
              <a:rPr lang="ru-RU" sz="1400" b="0" i="0" u="none" strike="noStrike" baseline="0">
                <a:effectLst/>
              </a:rPr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Лист1!$M$2:$M$7</c:f>
              <c:numCache>
                <c:formatCode>General</c:formatCode>
                <c:ptCount val="6"/>
                <c:pt idx="0">
                  <c:v>0</c:v>
                </c:pt>
                <c:pt idx="1">
                  <c:v>48.146666670000002</c:v>
                </c:pt>
                <c:pt idx="2">
                  <c:v>87.553333330000001</c:v>
                </c:pt>
                <c:pt idx="3">
                  <c:v>131.28666670000001</c:v>
                </c:pt>
                <c:pt idx="4">
                  <c:v>190.16333330000001</c:v>
                </c:pt>
                <c:pt idx="5">
                  <c:v>252.7333333</c:v>
                </c:pt>
              </c:numCache>
            </c:numRef>
          </c:xVal>
          <c:yVal>
            <c:numRef>
              <c:f>Лист1!$O$2:$O$7</c:f>
              <c:numCache>
                <c:formatCode>General</c:formatCode>
                <c:ptCount val="6"/>
                <c:pt idx="0">
                  <c:v>0</c:v>
                </c:pt>
                <c:pt idx="1">
                  <c:v>-9.1999999999999998E-2</c:v>
                </c:pt>
                <c:pt idx="2">
                  <c:v>-0.19800000000000001</c:v>
                </c:pt>
                <c:pt idx="3">
                  <c:v>-0.32</c:v>
                </c:pt>
                <c:pt idx="4">
                  <c:v>-0.46300000000000002</c:v>
                </c:pt>
                <c:pt idx="5">
                  <c:v>-0.63300000000000001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3-436D-8EEC-80B5BFE8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500232"/>
        <c:axId val="430500616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Лист1!$M$2:$M$7</c:f>
              <c:numCache>
                <c:formatCode>General</c:formatCode>
                <c:ptCount val="6"/>
                <c:pt idx="0">
                  <c:v>0</c:v>
                </c:pt>
                <c:pt idx="1">
                  <c:v>48.146666670000002</c:v>
                </c:pt>
                <c:pt idx="2">
                  <c:v>87.553333330000001</c:v>
                </c:pt>
                <c:pt idx="3">
                  <c:v>131.28666670000001</c:v>
                </c:pt>
                <c:pt idx="4">
                  <c:v>190.16333330000001</c:v>
                </c:pt>
                <c:pt idx="5">
                  <c:v>252.7333333</c:v>
                </c:pt>
              </c:numCache>
            </c:numRef>
          </c:xVal>
          <c:yVal>
            <c:numRef>
              <c:f>Лист1!$P$2:$P$7</c:f>
              <c:numCache>
                <c:formatCode>General</c:formatCode>
                <c:ptCount val="6"/>
                <c:pt idx="0">
                  <c:v>0</c:v>
                </c:pt>
                <c:pt idx="1">
                  <c:v>-9.6293332999999995E-2</c:v>
                </c:pt>
                <c:pt idx="2">
                  <c:v>-0.17510666699999999</c:v>
                </c:pt>
                <c:pt idx="3">
                  <c:v>-0.26257333300000002</c:v>
                </c:pt>
                <c:pt idx="4">
                  <c:v>-0.38032666700000001</c:v>
                </c:pt>
                <c:pt idx="5">
                  <c:v>-0.50546666699999998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13-436D-8EEC-80B5BFE8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500232"/>
        <c:axId val="430500616"/>
      </c:scatterChart>
      <c:valAx>
        <c:axId val="43050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00616"/>
        <c:crosses val="autoZero"/>
        <c:crossBetween val="midCat"/>
      </c:valAx>
      <c:valAx>
        <c:axId val="4305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0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Лист1!$AJ$1</c:f>
              <c:strCache>
                <c:ptCount val="1"/>
                <c:pt idx="0">
                  <c:v>ln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Лист1!$AH$2:$AH$7</c:f>
              <c:numCache>
                <c:formatCode>General</c:formatCode>
                <c:ptCount val="6"/>
                <c:pt idx="0">
                  <c:v>0</c:v>
                </c:pt>
                <c:pt idx="1">
                  <c:v>41.983333333333334</c:v>
                </c:pt>
                <c:pt idx="2">
                  <c:v>95.009999999999991</c:v>
                </c:pt>
                <c:pt idx="3">
                  <c:v>160.32333333333335</c:v>
                </c:pt>
                <c:pt idx="4">
                  <c:v>229.04</c:v>
                </c:pt>
                <c:pt idx="5">
                  <c:v>312.29666666666668</c:v>
                </c:pt>
              </c:numCache>
            </c:numRef>
          </c:xVal>
          <c:yVal>
            <c:numRef>
              <c:f>Лист1!$AJ$2:$AJ$7</c:f>
              <c:numCache>
                <c:formatCode>General</c:formatCode>
                <c:ptCount val="6"/>
                <c:pt idx="0">
                  <c:v>-2.0249533563957662</c:v>
                </c:pt>
                <c:pt idx="1">
                  <c:v>-2.1169960530661691</c:v>
                </c:pt>
                <c:pt idx="2">
                  <c:v>-2.2228222260213402</c:v>
                </c:pt>
                <c:pt idx="3">
                  <c:v>-2.3452540340978838</c:v>
                </c:pt>
                <c:pt idx="4">
                  <c:v>-2.488345837218652</c:v>
                </c:pt>
                <c:pt idx="5">
                  <c:v>-2.6582125655489719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C-1A48-8057-0C30C35A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42408"/>
        <c:axId val="431314360"/>
      </c:scatterChart>
      <c:valAx>
        <c:axId val="43064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14360"/>
        <c:crosses val="autoZero"/>
        <c:crossBetween val="midCat"/>
      </c:valAx>
      <c:valAx>
        <c:axId val="43131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4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T^2 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Лист1!$V$33</c:f>
              <c:strCache>
                <c:ptCount val="1"/>
                <c:pt idx="0">
                  <c:v>T2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Лист1!$U$34:$U$40</c:f>
              <c:numCache>
                <c:formatCode>0.0000</c:formatCode>
                <c:ptCount val="7"/>
                <c:pt idx="0" formatCode="General">
                  <c:v>0</c:v>
                </c:pt>
                <c:pt idx="1">
                  <c:v>3.1905128000000005E-2</c:v>
                </c:pt>
                <c:pt idx="2">
                  <c:v>3.5556727999999996E-2</c:v>
                </c:pt>
                <c:pt idx="3">
                  <c:v>4.0228328000000001E-2</c:v>
                </c:pt>
                <c:pt idx="4">
                  <c:v>4.5919927999999999E-2</c:v>
                </c:pt>
                <c:pt idx="5">
                  <c:v>5.2631527999999997E-2</c:v>
                </c:pt>
                <c:pt idx="6">
                  <c:v>6.0363128000000016E-2</c:v>
                </c:pt>
              </c:numCache>
            </c:numRef>
          </c:xVal>
          <c:yVal>
            <c:numRef>
              <c:f>Лист1!$V$34:$V$40</c:f>
              <c:numCache>
                <c:formatCode>General</c:formatCode>
                <c:ptCount val="7"/>
                <c:pt idx="0">
                  <c:v>0</c:v>
                </c:pt>
                <c:pt idx="1">
                  <c:v>2.2369437068545652</c:v>
                </c:pt>
                <c:pt idx="2">
                  <c:v>2.4929659876600239</c:v>
                </c:pt>
                <c:pt idx="3">
                  <c:v>2.8205028720424279</c:v>
                </c:pt>
                <c:pt idx="4">
                  <c:v>3.2195543600017755</c:v>
                </c:pt>
                <c:pt idx="5">
                  <c:v>3.6901204515380663</c:v>
                </c:pt>
                <c:pt idx="6">
                  <c:v>4.2322011466513025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A-3C49-BCE5-5298360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18984"/>
        <c:axId val="431023472"/>
      </c:scatterChart>
      <c:valAx>
        <c:axId val="431018984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23472"/>
        <c:crosses val="autoZero"/>
        <c:crossBetween val="midCat"/>
        <c:majorUnit val="0.01"/>
      </c:valAx>
      <c:valAx>
        <c:axId val="43102347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1898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Лист5!$A$23:$F$23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16.689999999999998</c:v>
                </c:pt>
                <c:pt idx="2">
                  <c:v>33.020000000000003</c:v>
                </c:pt>
                <c:pt idx="3">
                  <c:v>48.186666666666667</c:v>
                </c:pt>
                <c:pt idx="4">
                  <c:v>66.933333333333323</c:v>
                </c:pt>
                <c:pt idx="5">
                  <c:v>86.240000000000009</c:v>
                </c:pt>
              </c:numCache>
            </c:numRef>
          </c:xVal>
          <c:yVal>
            <c:numRef>
              <c:f>Лист5!$A$19:$F$19</c:f>
              <c:numCache>
                <c:formatCode>0.00</c:formatCode>
                <c:ptCount val="6"/>
                <c:pt idx="0" formatCode="General">
                  <c:v>0.52359877559829882</c:v>
                </c:pt>
                <c:pt idx="1">
                  <c:v>0.43633231299858238</c:v>
                </c:pt>
                <c:pt idx="2">
                  <c:v>0.3490658503988659</c:v>
                </c:pt>
                <c:pt idx="3">
                  <c:v>0.26179938779914941</c:v>
                </c:pt>
                <c:pt idx="4">
                  <c:v>0.174532925199433</c:v>
                </c:pt>
                <c:pt idx="5">
                  <c:v>8.7266462599716474E-2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54-4CAF-84D7-05AD051CA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54912"/>
        <c:axId val="1167159712"/>
      </c:scatterChart>
      <c:valAx>
        <c:axId val="11671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9712"/>
        <c:crosses val="autoZero"/>
        <c:crossBetween val="midCat"/>
      </c:valAx>
      <c:valAx>
        <c:axId val="11671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34624</xdr:colOff>
      <xdr:row>0</xdr:row>
      <xdr:rowOff>0</xdr:rowOff>
    </xdr:from>
    <xdr:to>
      <xdr:col>26</xdr:col>
      <xdr:colOff>190500</xdr:colOff>
      <xdr:row>17</xdr:row>
      <xdr:rowOff>72571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1094A4-F08E-1774-41E6-5D12E813C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4885</xdr:colOff>
      <xdr:row>26</xdr:row>
      <xdr:rowOff>199064</xdr:rowOff>
    </xdr:from>
    <xdr:to>
      <xdr:col>19</xdr:col>
      <xdr:colOff>187081</xdr:colOff>
      <xdr:row>51</xdr:row>
      <xdr:rowOff>131536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9A7AEC1-3F33-B71F-B460-8F3551FE4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42632</xdr:colOff>
      <xdr:row>13</xdr:row>
      <xdr:rowOff>34214</xdr:rowOff>
    </xdr:from>
    <xdr:to>
      <xdr:col>35</xdr:col>
      <xdr:colOff>353782</xdr:colOff>
      <xdr:row>28</xdr:row>
      <xdr:rowOff>59024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FDF844D-2476-E406-4B38-78E46FB70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67498</xdr:colOff>
      <xdr:row>0</xdr:row>
      <xdr:rowOff>142630</xdr:rowOff>
    </xdr:from>
    <xdr:to>
      <xdr:col>42</xdr:col>
      <xdr:colOff>589708</xdr:colOff>
      <xdr:row>12</xdr:row>
      <xdr:rowOff>70515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079C44-1E10-9489-7303-2B309B55C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431585</xdr:colOff>
      <xdr:row>29</xdr:row>
      <xdr:rowOff>18225</xdr:rowOff>
    </xdr:from>
    <xdr:to>
      <xdr:col>29</xdr:col>
      <xdr:colOff>362857</xdr:colOff>
      <xdr:row>44</xdr:row>
      <xdr:rowOff>27214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E6F7A8-B356-B356-65F0-52F188759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20</xdr:row>
      <xdr:rowOff>57150</xdr:rowOff>
    </xdr:from>
    <xdr:to>
      <xdr:col>19</xdr:col>
      <xdr:colOff>38100</xdr:colOff>
      <xdr:row>35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8F36E3E-4979-8D16-C033-0AC682BDE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opLeftCell="E7" zoomScale="85" zoomScaleNormal="85" workbookViewId="0">
      <selection activeCell="I22" sqref="I22"/>
    </sheetView>
  </sheetViews>
  <sheetFormatPr defaultColWidth="8.77734375" defaultRowHeight="14.4" x14ac:dyDescent="0.3"/>
  <cols>
    <col min="1" max="1" width="13.44140625" customWidth="1"/>
    <col min="2" max="2" width="10.109375" customWidth="1"/>
    <col min="4" max="4" width="21.77734375" customWidth="1"/>
    <col min="5" max="5" width="13.109375" bestFit="1" customWidth="1"/>
    <col min="6" max="10" width="9.77734375" bestFit="1" customWidth="1"/>
    <col min="12" max="12" width="8.109375" customWidth="1"/>
    <col min="13" max="13" width="13.44140625" customWidth="1"/>
    <col min="14" max="14" width="11.6640625" customWidth="1"/>
    <col min="15" max="15" width="15.109375" customWidth="1"/>
  </cols>
  <sheetData>
    <row r="1" spans="1:36" ht="30.45" customHeight="1" x14ac:dyDescent="0.3">
      <c r="A1" s="4" t="s">
        <v>1</v>
      </c>
      <c r="B1" s="1">
        <v>36.659999999999997</v>
      </c>
      <c r="D1" s="7" t="s">
        <v>5</v>
      </c>
      <c r="E1" s="12" t="s">
        <v>11</v>
      </c>
      <c r="F1" s="12" t="s">
        <v>7</v>
      </c>
      <c r="G1" s="8" t="s">
        <v>6</v>
      </c>
      <c r="H1" s="8" t="s">
        <v>8</v>
      </c>
      <c r="I1" s="12" t="s">
        <v>9</v>
      </c>
      <c r="J1" s="12" t="s">
        <v>10</v>
      </c>
      <c r="K1" s="15"/>
      <c r="L1" s="20" t="s">
        <v>16</v>
      </c>
      <c r="M1" s="20" t="s">
        <v>0</v>
      </c>
      <c r="N1" s="20" t="s">
        <v>15</v>
      </c>
      <c r="O1" s="20" t="s">
        <v>41</v>
      </c>
      <c r="P1" s="20" t="s">
        <v>41</v>
      </c>
      <c r="AH1" t="s">
        <v>0</v>
      </c>
      <c r="AI1" t="s">
        <v>15</v>
      </c>
      <c r="AJ1" t="s">
        <v>74</v>
      </c>
    </row>
    <row r="2" spans="1:36" ht="18" x14ac:dyDescent="0.3">
      <c r="A2" s="4" t="s">
        <v>2</v>
      </c>
      <c r="B2" s="1">
        <v>36.72</v>
      </c>
      <c r="D2" s="6" t="s">
        <v>1</v>
      </c>
      <c r="E2" s="13">
        <v>0</v>
      </c>
      <c r="F2" s="14">
        <v>16.7</v>
      </c>
      <c r="G2" s="11">
        <v>33.020000000000003</v>
      </c>
      <c r="H2" s="11">
        <v>47.56</v>
      </c>
      <c r="I2" s="11">
        <v>65.56</v>
      </c>
      <c r="J2" s="14">
        <v>87.45</v>
      </c>
      <c r="K2" s="16"/>
      <c r="L2" s="73">
        <v>0.52359877600000004</v>
      </c>
      <c r="M2" s="73">
        <v>0</v>
      </c>
      <c r="N2" s="73">
        <v>0.13</v>
      </c>
      <c r="O2" s="73">
        <v>0</v>
      </c>
      <c r="P2" s="73">
        <v>0</v>
      </c>
      <c r="AH2">
        <v>0</v>
      </c>
      <c r="AI2">
        <v>0.13200000000000001</v>
      </c>
      <c r="AJ2">
        <f>LN(AI2)</f>
        <v>-2.0249533563957662</v>
      </c>
    </row>
    <row r="3" spans="1:36" ht="18" x14ac:dyDescent="0.3">
      <c r="A3" s="4" t="s">
        <v>3</v>
      </c>
      <c r="B3" s="1">
        <v>36.51</v>
      </c>
      <c r="D3" s="4" t="s">
        <v>2</v>
      </c>
      <c r="E3" s="13">
        <v>0</v>
      </c>
      <c r="F3" s="14">
        <v>16.82</v>
      </c>
      <c r="G3" s="11">
        <v>33.049999999999997</v>
      </c>
      <c r="H3" s="11">
        <v>49.29</v>
      </c>
      <c r="I3" s="11">
        <v>67.64</v>
      </c>
      <c r="J3" s="14">
        <v>85.52</v>
      </c>
      <c r="K3" s="16"/>
      <c r="L3" s="73">
        <v>0.43633231300000003</v>
      </c>
      <c r="M3" s="73">
        <v>48.146666670000002</v>
      </c>
      <c r="N3" s="73">
        <v>0.12</v>
      </c>
      <c r="O3" s="73">
        <v>-9.1999999999999998E-2</v>
      </c>
      <c r="P3" s="73">
        <v>-9.6293332999999995E-2</v>
      </c>
      <c r="AH3">
        <v>41.983333333333334</v>
      </c>
      <c r="AI3">
        <v>0.12039273926110491</v>
      </c>
      <c r="AJ3">
        <f t="shared" ref="AJ3:AJ7" si="0">LN(AI3)</f>
        <v>-2.1169960530661691</v>
      </c>
    </row>
    <row r="4" spans="1:36" ht="18" x14ac:dyDescent="0.3">
      <c r="A4" s="18" t="s">
        <v>12</v>
      </c>
      <c r="B4" s="1">
        <f>AVERAGE(B1:B3)</f>
        <v>36.629999999999995</v>
      </c>
      <c r="D4" s="4" t="s">
        <v>3</v>
      </c>
      <c r="E4" s="13">
        <v>0</v>
      </c>
      <c r="F4" s="14">
        <v>16.55</v>
      </c>
      <c r="G4" s="11">
        <v>32.99</v>
      </c>
      <c r="H4" s="11">
        <v>47.71</v>
      </c>
      <c r="I4" s="11">
        <v>67.599999999999994</v>
      </c>
      <c r="J4" s="14">
        <v>85.75</v>
      </c>
      <c r="K4" s="16"/>
      <c r="L4" s="73">
        <v>0.34906585000000001</v>
      </c>
      <c r="M4" s="73">
        <v>87.553333330000001</v>
      </c>
      <c r="N4" s="73">
        <v>0.11</v>
      </c>
      <c r="O4" s="73">
        <v>-0.19800000000000001</v>
      </c>
      <c r="P4" s="73">
        <v>-0.17510666699999999</v>
      </c>
      <c r="AH4">
        <v>95.009999999999991</v>
      </c>
      <c r="AI4">
        <v>0.10830302149885032</v>
      </c>
      <c r="AJ4">
        <f t="shared" si="0"/>
        <v>-2.2228222260213402</v>
      </c>
    </row>
    <row r="5" spans="1:36" ht="15.6" x14ac:dyDescent="0.3">
      <c r="A5" s="17" t="s">
        <v>14</v>
      </c>
      <c r="B5" s="1">
        <v>10</v>
      </c>
      <c r="D5" s="18" t="s">
        <v>12</v>
      </c>
      <c r="E5" s="14">
        <f t="shared" ref="E5:J5" si="1">AVERAGE(E2:E4)</f>
        <v>0</v>
      </c>
      <c r="F5" s="14">
        <f t="shared" si="1"/>
        <v>16.689999999999998</v>
      </c>
      <c r="G5" s="1">
        <f t="shared" si="1"/>
        <v>33.020000000000003</v>
      </c>
      <c r="H5" s="11">
        <f t="shared" si="1"/>
        <v>48.186666666666667</v>
      </c>
      <c r="I5" s="11">
        <f t="shared" si="1"/>
        <v>66.933333333333323</v>
      </c>
      <c r="J5" s="14">
        <f t="shared" si="1"/>
        <v>86.240000000000009</v>
      </c>
      <c r="K5" s="19"/>
      <c r="L5" s="73">
        <v>0.26179938800000002</v>
      </c>
      <c r="M5" s="73">
        <v>131.28666670000001</v>
      </c>
      <c r="N5" s="73">
        <v>0.1</v>
      </c>
      <c r="O5" s="73">
        <v>-0.32</v>
      </c>
      <c r="P5" s="73">
        <v>-0.26257333300000002</v>
      </c>
      <c r="AH5">
        <v>160.32333333333335</v>
      </c>
      <c r="AI5">
        <v>9.582285676537812E-2</v>
      </c>
      <c r="AJ5">
        <f t="shared" si="0"/>
        <v>-2.3452540340978838</v>
      </c>
    </row>
    <row r="6" spans="1:36" ht="15.6" x14ac:dyDescent="0.3">
      <c r="A6" s="17" t="s">
        <v>13</v>
      </c>
      <c r="B6" s="1">
        <f>B4/B5</f>
        <v>3.6629999999999994</v>
      </c>
      <c r="L6" s="73">
        <v>0.17453292500000001</v>
      </c>
      <c r="M6" s="73">
        <v>190.16333330000001</v>
      </c>
      <c r="N6" s="73">
        <v>0.08</v>
      </c>
      <c r="O6" s="73">
        <v>-0.46300000000000002</v>
      </c>
      <c r="P6" s="73">
        <v>-0.38032666700000001</v>
      </c>
      <c r="AH6">
        <v>229.04</v>
      </c>
      <c r="AI6">
        <v>8.3047226650039552E-2</v>
      </c>
      <c r="AJ6">
        <f t="shared" si="0"/>
        <v>-2.488345837218652</v>
      </c>
    </row>
    <row r="7" spans="1:36" x14ac:dyDescent="0.3">
      <c r="D7" s="23" t="s">
        <v>24</v>
      </c>
      <c r="E7" s="22">
        <v>1</v>
      </c>
      <c r="F7" s="22">
        <v>2</v>
      </c>
      <c r="G7" s="2">
        <v>3</v>
      </c>
      <c r="H7" s="22">
        <v>4</v>
      </c>
      <c r="I7" s="22">
        <v>5</v>
      </c>
      <c r="J7" s="22">
        <v>6</v>
      </c>
      <c r="L7" s="73">
        <v>8.7266463000000002E-2</v>
      </c>
      <c r="M7" s="73">
        <v>252.7333333</v>
      </c>
      <c r="N7" s="73">
        <v>7.0000000000000007E-2</v>
      </c>
      <c r="O7" s="73">
        <v>-0.63300000000000001</v>
      </c>
      <c r="P7" s="73">
        <v>-0.50546666699999998</v>
      </c>
      <c r="AH7">
        <v>312.29666666666668</v>
      </c>
      <c r="AI7">
        <v>7.0073361412148732E-2</v>
      </c>
      <c r="AJ7">
        <f t="shared" si="0"/>
        <v>-2.6582125655489719</v>
      </c>
    </row>
    <row r="8" spans="1:36" ht="18.600000000000001" thickBot="1" x14ac:dyDescent="0.35">
      <c r="A8" s="5" t="s">
        <v>28</v>
      </c>
      <c r="B8" s="1">
        <f>8 * POWER(10,-3)</f>
        <v>8.0000000000000002E-3</v>
      </c>
      <c r="D8" s="5" t="s">
        <v>20</v>
      </c>
      <c r="E8" s="79">
        <v>7.6999999999999999E-2</v>
      </c>
      <c r="F8" s="79"/>
      <c r="G8" s="79"/>
      <c r="H8" s="79"/>
      <c r="I8" s="79"/>
      <c r="J8" s="79"/>
      <c r="N8" s="66" t="s">
        <v>42</v>
      </c>
      <c r="O8" s="74">
        <v>4.8220000000000001E-4</v>
      </c>
    </row>
    <row r="9" spans="1:36" ht="18" x14ac:dyDescent="0.3">
      <c r="A9" s="26" t="s">
        <v>29</v>
      </c>
      <c r="B9" s="27">
        <v>0.40799999999999997</v>
      </c>
      <c r="D9" s="5" t="s">
        <v>21</v>
      </c>
      <c r="E9" s="79">
        <v>0.20200000000000001</v>
      </c>
      <c r="F9" s="79"/>
      <c r="G9" s="79"/>
      <c r="H9" s="79"/>
      <c r="I9" s="79"/>
      <c r="J9" s="79"/>
      <c r="L9" s="40" t="s">
        <v>18</v>
      </c>
      <c r="M9" s="54">
        <f>(N2-N7)/M7/4</f>
        <v>5.9351094705796768E-5</v>
      </c>
      <c r="N9" s="43" t="s">
        <v>38</v>
      </c>
      <c r="O9" s="55">
        <f>SUMXMY2(O2:O7,P2:P7)</f>
        <v>2.6939990502244451E-2</v>
      </c>
    </row>
    <row r="10" spans="1:36" ht="18.600000000000001" thickBot="1" x14ac:dyDescent="0.35">
      <c r="A10" s="28"/>
      <c r="B10" s="29"/>
      <c r="D10" s="5" t="s">
        <v>22</v>
      </c>
      <c r="E10" s="24">
        <v>7.6999999999999999E-2</v>
      </c>
      <c r="F10" s="24">
        <v>0.10199999999999999</v>
      </c>
      <c r="G10" s="24">
        <v>0.127</v>
      </c>
      <c r="H10" s="24">
        <v>0.152</v>
      </c>
      <c r="I10" s="24">
        <v>0.17699999999999999</v>
      </c>
      <c r="J10" s="24">
        <v>0.20200000000000001</v>
      </c>
      <c r="L10" s="41" t="s">
        <v>19</v>
      </c>
      <c r="M10" s="42">
        <f>N2/4/M9</f>
        <v>547.58888881666667</v>
      </c>
      <c r="N10" s="44" t="s">
        <v>43</v>
      </c>
      <c r="O10" s="56">
        <f>1/O8</f>
        <v>2073.828287017835</v>
      </c>
      <c r="AH10" t="s">
        <v>76</v>
      </c>
      <c r="AI10">
        <v>-2</v>
      </c>
    </row>
    <row r="11" spans="1:36" ht="18" x14ac:dyDescent="0.3">
      <c r="A11" s="36" t="s">
        <v>36</v>
      </c>
      <c r="B11" s="25" t="s">
        <v>25</v>
      </c>
      <c r="D11" s="5" t="s">
        <v>23</v>
      </c>
      <c r="E11" s="30">
        <f>0.408 * ($E$9*$E$9 + $E$8*$E$8 + 2 * E10*E10)</f>
        <v>2.3905128000000005E-2</v>
      </c>
      <c r="F11" s="30">
        <f>0.408 * ($E$9*$E$9 + $E$8*$E$8 + 2 * F10*F10)</f>
        <v>2.7556727999999999E-2</v>
      </c>
      <c r="G11" s="30">
        <f t="shared" ref="G11:I11" si="2">0.408 * ($E$9*$E$9 + $E$8*$E$8 + 2 * G10*G10)</f>
        <v>3.2228328000000001E-2</v>
      </c>
      <c r="H11" s="30">
        <f t="shared" si="2"/>
        <v>3.7919927999999999E-2</v>
      </c>
      <c r="I11" s="30">
        <f t="shared" si="2"/>
        <v>4.4631527999999997E-2</v>
      </c>
      <c r="J11" s="30">
        <f>0.408 * ($E$9*$E$9 + $E$8*$E$8 + 2 * J10*J10)</f>
        <v>5.2363128000000016E-2</v>
      </c>
      <c r="L11" t="s">
        <v>40</v>
      </c>
      <c r="N11" s="60" t="s">
        <v>44</v>
      </c>
      <c r="O11" s="60" t="s">
        <v>59</v>
      </c>
      <c r="AH11" t="s">
        <v>75</v>
      </c>
      <c r="AI11">
        <f>0.5/229</f>
        <v>2.1834061135371178E-3</v>
      </c>
    </row>
    <row r="12" spans="1:36" ht="15.6" x14ac:dyDescent="0.3">
      <c r="A12" s="10">
        <f>I17^2</f>
        <v>2.6254801111111097</v>
      </c>
      <c r="B12" s="9" cm="1">
        <f t="array" ref="B12:B17">TRANSPOSE($E$12:$J$12)</f>
        <v>3.1905128000000005E-2</v>
      </c>
      <c r="C12" s="30"/>
      <c r="D12" s="5" t="s">
        <v>25</v>
      </c>
      <c r="E12" s="30">
        <f t="shared" ref="E12:J12" si="3">$B$8+E11</f>
        <v>3.1905128000000005E-2</v>
      </c>
      <c r="F12" s="30">
        <f t="shared" si="3"/>
        <v>3.5556727999999996E-2</v>
      </c>
      <c r="G12" s="30">
        <f t="shared" si="3"/>
        <v>4.0228328000000001E-2</v>
      </c>
      <c r="H12" s="30">
        <f t="shared" si="3"/>
        <v>4.5919927999999999E-2</v>
      </c>
      <c r="I12" s="30">
        <f t="shared" si="3"/>
        <v>5.2631527999999997E-2</v>
      </c>
      <c r="J12" s="30">
        <f t="shared" si="3"/>
        <v>6.0363128000000016E-2</v>
      </c>
    </row>
    <row r="13" spans="1:36" ht="18" x14ac:dyDescent="0.3">
      <c r="A13" s="10">
        <f t="shared" ref="A13:A16" si="4">I18^2</f>
        <v>2.9813777777777775</v>
      </c>
      <c r="B13" s="1">
        <v>3.5556727999999996E-2</v>
      </c>
      <c r="C13" s="30"/>
      <c r="D13" s="5" t="s">
        <v>26</v>
      </c>
      <c r="E13" s="30">
        <f>($I17 ^ 2) * 9.82 / 4 / PI()^2</f>
        <v>0.65307112735606165</v>
      </c>
      <c r="F13" s="30">
        <f>$I18 ^ 2 * 9.81 / 4 / PI() / PI()</f>
        <v>0.74084316887037094</v>
      </c>
      <c r="G13" s="30">
        <f>$I19 ^ 2 * 9.81 / 4 / PI() / PI()</f>
        <v>0.81467855379416476</v>
      </c>
      <c r="H13" s="30">
        <f>$I20 ^ 2 * 9.81 / 4 / PI() / PI()</f>
        <v>0.94585335674341986</v>
      </c>
      <c r="I13" s="30">
        <f>$I21 ^ 2 * 9.81 / 4 / PI() / PI()</f>
        <v>1.0996718846504183</v>
      </c>
      <c r="J13" s="30">
        <f>$I22 ^ 2 * 9.81 / 4 / PI() / PI()</f>
        <v>1.2375647306747013</v>
      </c>
      <c r="L13" s="32" t="s">
        <v>12</v>
      </c>
      <c r="M13" s="21" t="e">
        <f>AVERAGE(_xlfn.ANCHORARRAY(M2))</f>
        <v>#REF!</v>
      </c>
      <c r="N13" s="4" t="s">
        <v>51</v>
      </c>
      <c r="O13" s="9">
        <f>O2-P2</f>
        <v>0</v>
      </c>
    </row>
    <row r="14" spans="1:36" ht="18" x14ac:dyDescent="0.3">
      <c r="A14" s="10">
        <f t="shared" si="4"/>
        <v>3.2785137777777784</v>
      </c>
      <c r="B14" s="1">
        <v>4.0228328000000001E-2</v>
      </c>
      <c r="C14" s="30"/>
      <c r="D14" s="5" t="s">
        <v>27</v>
      </c>
      <c r="E14" s="30">
        <f t="shared" ref="E14:J14" si="5">E12/$B$26</f>
        <v>0.55585859555376826</v>
      </c>
      <c r="F14" s="30">
        <f t="shared" si="5"/>
        <v>0.61947762405364248</v>
      </c>
      <c r="G14" s="30">
        <f t="shared" si="5"/>
        <v>0.70086733090543718</v>
      </c>
      <c r="H14" s="30">
        <f t="shared" si="5"/>
        <v>0.80002771610915202</v>
      </c>
      <c r="I14" s="30">
        <f t="shared" si="5"/>
        <v>0.916958779664787</v>
      </c>
      <c r="J14" s="30">
        <f t="shared" si="5"/>
        <v>1.0516605215723425</v>
      </c>
      <c r="L14" s="57" t="s">
        <v>50</v>
      </c>
      <c r="M14" s="58">
        <f>AVERAGE(O2:O7)</f>
        <v>-0.28433333333333338</v>
      </c>
      <c r="N14" s="4" t="s">
        <v>52</v>
      </c>
      <c r="O14" s="9">
        <f>O3-P3</f>
        <v>4.2933329999999964E-3</v>
      </c>
      <c r="P14" s="1"/>
    </row>
    <row r="15" spans="1:36" ht="18" x14ac:dyDescent="0.3">
      <c r="A15" s="10">
        <f t="shared" si="4"/>
        <v>3.8064010000000001</v>
      </c>
      <c r="B15" s="1">
        <v>4.5919927999999999E-2</v>
      </c>
      <c r="C15" s="30"/>
      <c r="L15" s="39" t="s">
        <v>42</v>
      </c>
      <c r="M15" s="10">
        <f>(M2*O2 + M3*O3 + M4*O4 + M5*O5 + M6*O6 + M7*O7)/(M2^2 + M3^2 + M4^2 + M5^2 + M6^2 + M7^2)</f>
        <v>-2.4501976036331481E-3</v>
      </c>
      <c r="N15" s="4" t="s">
        <v>53</v>
      </c>
      <c r="O15" s="9">
        <f t="shared" ref="O15:O18" si="6">O4-P4</f>
        <v>-2.2893333000000016E-2</v>
      </c>
    </row>
    <row r="16" spans="1:36" ht="35.549999999999997" customHeight="1" x14ac:dyDescent="0.3">
      <c r="A16" s="10">
        <f t="shared" si="4"/>
        <v>4.4254134444444428</v>
      </c>
      <c r="B16" s="1">
        <v>5.2631527999999997E-2</v>
      </c>
      <c r="C16" s="30"/>
      <c r="D16" s="35" t="s">
        <v>4</v>
      </c>
      <c r="E16" s="5" t="s">
        <v>1</v>
      </c>
      <c r="F16" s="5" t="s">
        <v>2</v>
      </c>
      <c r="G16" s="5" t="s">
        <v>3</v>
      </c>
      <c r="H16" s="32" t="s">
        <v>12</v>
      </c>
      <c r="I16" s="34" t="s">
        <v>13</v>
      </c>
      <c r="N16" s="4" t="s">
        <v>54</v>
      </c>
      <c r="O16" s="9">
        <f t="shared" si="6"/>
        <v>-5.7426666999999987E-2</v>
      </c>
    </row>
    <row r="17" spans="1:18" ht="18" x14ac:dyDescent="0.3">
      <c r="A17" s="10">
        <f>I22^2</f>
        <v>4.98033611111111</v>
      </c>
      <c r="B17" s="1">
        <v>6.0363128000000016E-2</v>
      </c>
      <c r="C17" s="30"/>
      <c r="D17" s="5" t="s">
        <v>30</v>
      </c>
      <c r="E17" s="1">
        <v>16.149999999999999</v>
      </c>
      <c r="F17" s="1">
        <v>16.059999999999999</v>
      </c>
      <c r="G17" s="1">
        <v>16.399999999999999</v>
      </c>
      <c r="H17" s="11">
        <f>AVERAGE(E17:G17)</f>
        <v>16.20333333333333</v>
      </c>
      <c r="I17" s="11">
        <f>H17/$B$5</f>
        <v>1.620333333333333</v>
      </c>
      <c r="N17" s="4" t="s">
        <v>55</v>
      </c>
      <c r="O17" s="9">
        <f t="shared" si="6"/>
        <v>-8.2673333000000016E-2</v>
      </c>
    </row>
    <row r="18" spans="1:18" ht="18" x14ac:dyDescent="0.3">
      <c r="A18" s="25" t="s">
        <v>25</v>
      </c>
      <c r="B18" s="25" t="s">
        <v>36</v>
      </c>
      <c r="D18" s="5" t="s">
        <v>31</v>
      </c>
      <c r="E18" s="1">
        <v>17.309999999999999</v>
      </c>
      <c r="F18" s="1">
        <v>17.329999999999998</v>
      </c>
      <c r="G18" s="1">
        <v>17.16</v>
      </c>
      <c r="H18" s="11">
        <f t="shared" ref="H18:H22" si="7">AVERAGE(E18:G18)</f>
        <v>17.266666666666666</v>
      </c>
      <c r="I18" s="11">
        <f t="shared" ref="I18:I22" si="8">H18/$B$5</f>
        <v>1.7266666666666666</v>
      </c>
      <c r="K18" s="49">
        <f>AVERAGE(A12:A17)</f>
        <v>3.6829203703703701</v>
      </c>
      <c r="N18" s="4" t="s">
        <v>56</v>
      </c>
      <c r="O18" s="9">
        <f t="shared" si="6"/>
        <v>-0.12753333300000003</v>
      </c>
    </row>
    <row r="19" spans="1:18" ht="15.6" x14ac:dyDescent="0.3">
      <c r="A19" s="45">
        <v>0</v>
      </c>
      <c r="B19" s="1">
        <f>4*PI()*PI() * A19 / 9.81 / $B$26</f>
        <v>0</v>
      </c>
      <c r="D19" s="5" t="s">
        <v>32</v>
      </c>
      <c r="E19" s="1">
        <v>18.37</v>
      </c>
      <c r="F19" s="1">
        <v>17.920000000000002</v>
      </c>
      <c r="G19" s="1">
        <v>18.03</v>
      </c>
      <c r="H19" s="11">
        <f t="shared" si="7"/>
        <v>18.106666666666669</v>
      </c>
      <c r="I19" s="11">
        <f t="shared" si="8"/>
        <v>1.8106666666666669</v>
      </c>
      <c r="K19" s="49">
        <f>AVERAGE(E12:J12)</f>
        <v>4.4434127999999996E-2</v>
      </c>
      <c r="N19" s="4" t="s">
        <v>58</v>
      </c>
      <c r="O19" s="59">
        <f>SUMSQ(O13:O18)/5/(M2^2 + M3^2 + M4^2 + M5^2 + M6^2 + M7^2)</f>
        <v>4.2339799641863078E-8</v>
      </c>
    </row>
    <row r="20" spans="1:18" ht="15.6" x14ac:dyDescent="0.3">
      <c r="A20" s="9" cm="1">
        <f t="array" ref="A20:A25">TRANSPOSE($E$12:$J$12)</f>
        <v>3.1905128000000005E-2</v>
      </c>
      <c r="B20" s="1">
        <f>4*PI()*PI()*A20/9.81/ $B$26</f>
        <v>2.2369437068545652</v>
      </c>
      <c r="D20" s="5" t="s">
        <v>33</v>
      </c>
      <c r="E20" s="1">
        <v>19.559999999999999</v>
      </c>
      <c r="F20" s="1">
        <v>19.5</v>
      </c>
      <c r="G20" s="1">
        <v>19.47</v>
      </c>
      <c r="H20" s="11">
        <f t="shared" si="7"/>
        <v>19.510000000000002</v>
      </c>
      <c r="I20" s="11">
        <f t="shared" si="8"/>
        <v>1.9510000000000001</v>
      </c>
      <c r="N20" s="4" t="s">
        <v>57</v>
      </c>
      <c r="O20" s="47">
        <f>POWER(4*O19*(M3^2),1/2)</f>
        <v>1.9813929801383127E-2</v>
      </c>
    </row>
    <row r="21" spans="1:18" ht="15.6" x14ac:dyDescent="0.3">
      <c r="A21" s="9">
        <v>3.5556727999999996E-2</v>
      </c>
      <c r="B21" s="1">
        <f>4*PI()*PI()*A21/9.81/ $B$26</f>
        <v>2.4929659876600239</v>
      </c>
      <c r="D21" s="5" t="s">
        <v>34</v>
      </c>
      <c r="E21" s="1">
        <v>20.97</v>
      </c>
      <c r="F21" s="1">
        <v>21.08</v>
      </c>
      <c r="G21" s="1">
        <v>21.06</v>
      </c>
      <c r="H21" s="11">
        <f t="shared" si="7"/>
        <v>21.036666666666665</v>
      </c>
      <c r="I21" s="11">
        <f t="shared" si="8"/>
        <v>2.1036666666666664</v>
      </c>
    </row>
    <row r="22" spans="1:18" ht="15.6" x14ac:dyDescent="0.3">
      <c r="A22" s="9">
        <v>4.0228328000000001E-2</v>
      </c>
      <c r="B22" s="1">
        <f t="shared" ref="B22:B25" si="9">4*PI()*PI()*A22/9.81/ $B$26</f>
        <v>2.8205028720424279</v>
      </c>
      <c r="D22" s="5" t="s">
        <v>35</v>
      </c>
      <c r="E22" s="1">
        <v>22.33</v>
      </c>
      <c r="F22" s="1">
        <v>22.47</v>
      </c>
      <c r="G22" s="1">
        <v>22.15</v>
      </c>
      <c r="H22" s="11">
        <f t="shared" si="7"/>
        <v>22.316666666666663</v>
      </c>
      <c r="I22" s="11">
        <f t="shared" si="8"/>
        <v>2.2316666666666665</v>
      </c>
      <c r="L22" s="5" t="s">
        <v>24</v>
      </c>
      <c r="M22" s="65">
        <v>1</v>
      </c>
      <c r="N22" s="65">
        <v>2</v>
      </c>
      <c r="O22" s="65">
        <v>3</v>
      </c>
      <c r="P22" s="65">
        <v>4</v>
      </c>
      <c r="Q22" s="65">
        <v>5</v>
      </c>
      <c r="R22" s="65">
        <v>6</v>
      </c>
    </row>
    <row r="23" spans="1:18" ht="15.6" x14ac:dyDescent="0.3">
      <c r="A23" s="9">
        <v>4.5919927999999999E-2</v>
      </c>
      <c r="B23" s="1">
        <f t="shared" si="9"/>
        <v>3.2195543600017755</v>
      </c>
      <c r="L23" s="61" t="s">
        <v>17</v>
      </c>
      <c r="M23" s="72">
        <f t="shared" ref="M23:R23" si="10">POWER((0.0005)^2 + ((M22-1)*0.0002)^2 + (1/2*0.0005)^2,1/2)</f>
        <v>5.5901699437494736E-4</v>
      </c>
      <c r="N23" s="72">
        <f t="shared" si="10"/>
        <v>5.9371710435189584E-4</v>
      </c>
      <c r="O23" s="72">
        <f t="shared" si="10"/>
        <v>6.8738635424337596E-4</v>
      </c>
      <c r="P23" s="72">
        <f t="shared" si="10"/>
        <v>8.2006097334283629E-4</v>
      </c>
      <c r="Q23" s="72">
        <f t="shared" si="10"/>
        <v>9.759610647971567E-4</v>
      </c>
      <c r="R23" s="72">
        <f t="shared" si="10"/>
        <v>1.1456439237389599E-3</v>
      </c>
    </row>
    <row r="24" spans="1:18" ht="28.8" x14ac:dyDescent="0.3">
      <c r="A24" s="9">
        <v>5.2631527999999997E-2</v>
      </c>
      <c r="B24" s="1">
        <f t="shared" si="9"/>
        <v>3.6901204515380663</v>
      </c>
      <c r="D24" s="7" t="s">
        <v>49</v>
      </c>
      <c r="E24" s="12" t="s">
        <v>7</v>
      </c>
      <c r="F24" s="8" t="s">
        <v>6</v>
      </c>
      <c r="G24" s="8" t="s">
        <v>8</v>
      </c>
      <c r="H24" s="12" t="s">
        <v>9</v>
      </c>
      <c r="I24" s="8" t="s">
        <v>10</v>
      </c>
      <c r="J24" s="15"/>
      <c r="L24" s="4" t="s">
        <v>69</v>
      </c>
      <c r="M24" s="10">
        <f>M23/E10</f>
        <v>7.2599609659084073E-3</v>
      </c>
      <c r="N24" s="10">
        <f t="shared" ref="N24:R24" si="11">N23/F10</f>
        <v>5.8207559250185873E-3</v>
      </c>
      <c r="O24" s="10">
        <f t="shared" si="11"/>
        <v>5.4124909782942987E-3</v>
      </c>
      <c r="P24" s="10">
        <f t="shared" si="11"/>
        <v>5.3951379825186597E-3</v>
      </c>
      <c r="Q24" s="10">
        <f t="shared" si="11"/>
        <v>5.5139043208878909E-3</v>
      </c>
      <c r="R24" s="10">
        <f t="shared" si="11"/>
        <v>5.6715045729651475E-3</v>
      </c>
    </row>
    <row r="25" spans="1:18" ht="15.6" x14ac:dyDescent="0.3">
      <c r="A25" s="9">
        <v>6.0363128000000016E-2</v>
      </c>
      <c r="B25" s="1">
        <f t="shared" si="9"/>
        <v>4.2322011466513025</v>
      </c>
      <c r="D25" s="6" t="s">
        <v>46</v>
      </c>
      <c r="E25" s="10">
        <f xml:space="preserve"> POWER(((F2-F5)^2 + (F3-F5)^2 + (F4-F5)^2) / 6,1/2)</f>
        <v>7.8102496759066387E-2</v>
      </c>
      <c r="F25" s="10">
        <f t="shared" ref="F25:H25" si="12" xml:space="preserve"> POWER(((G2-G5)^2 + (G3-G5)^2 + (G4-G5)^2) / 6,1/2)</f>
        <v>1.7320508075687378E-2</v>
      </c>
      <c r="G25" s="10">
        <f t="shared" si="12"/>
        <v>0.55336345299550649</v>
      </c>
      <c r="H25" s="10">
        <f t="shared" si="12"/>
        <v>0.68676374718271371</v>
      </c>
      <c r="I25" s="10">
        <f xml:space="preserve"> POWER(((J2-J5)^2 + (J3-J5)^2 + (J4-J5)^2) / 6,1/2)</f>
        <v>0.60863234660452892</v>
      </c>
      <c r="L25" s="62"/>
      <c r="M25" s="49"/>
      <c r="N25" s="49"/>
      <c r="O25" s="49"/>
      <c r="P25" s="49"/>
      <c r="Q25" s="49"/>
    </row>
    <row r="26" spans="1:18" ht="15.6" x14ac:dyDescent="0.3">
      <c r="A26" s="3" t="s">
        <v>37</v>
      </c>
      <c r="B26" s="1">
        <v>5.7397921441180298E-2</v>
      </c>
      <c r="D26" s="4" t="s">
        <v>47</v>
      </c>
      <c r="E26" s="48">
        <f>4.3 * E25</f>
        <v>0.33584073606398546</v>
      </c>
      <c r="F26" s="48">
        <f t="shared" ref="F26:I26" si="13">4.3 * F25</f>
        <v>7.4478184725455726E-2</v>
      </c>
      <c r="G26" s="48">
        <f t="shared" si="13"/>
        <v>2.3794628478806779</v>
      </c>
      <c r="H26" s="48">
        <f t="shared" si="13"/>
        <v>2.9530841128856689</v>
      </c>
      <c r="I26" s="48">
        <f t="shared" si="13"/>
        <v>2.6171190903994743</v>
      </c>
      <c r="L26" s="63"/>
      <c r="M26" s="49"/>
      <c r="N26" s="49"/>
      <c r="O26" s="49"/>
      <c r="P26" s="49"/>
      <c r="Q26" s="49"/>
    </row>
    <row r="27" spans="1:18" ht="15.6" x14ac:dyDescent="0.3">
      <c r="A27" s="38" t="s">
        <v>38</v>
      </c>
      <c r="B27" s="1">
        <f>SUMXMY2(A12:A17,B20:B25)</f>
        <v>2.0440312932728495</v>
      </c>
      <c r="C27" s="1"/>
      <c r="D27" s="4" t="s">
        <v>45</v>
      </c>
      <c r="E27" s="48">
        <f>POWER(E26^2 + (2/3*0.005)^2,1/2)</f>
        <v>0.33585727788915137</v>
      </c>
      <c r="F27" s="48">
        <f t="shared" ref="F27:I27" si="14">POWER(F26^2 + (2/3*0.005)^2,1/2)</f>
        <v>7.4552740466801201E-2</v>
      </c>
      <c r="G27" s="48">
        <f t="shared" si="14"/>
        <v>2.3794651826735218</v>
      </c>
      <c r="H27" s="48">
        <f t="shared" si="14"/>
        <v>2.9530859941574423</v>
      </c>
      <c r="I27" s="48">
        <f t="shared" si="14"/>
        <v>2.6171212131738346</v>
      </c>
    </row>
    <row r="28" spans="1:18" ht="15.6" x14ac:dyDescent="0.3">
      <c r="A28" s="37"/>
      <c r="D28" s="46" t="s">
        <v>48</v>
      </c>
      <c r="E28" s="48">
        <f>E27/F5</f>
        <v>2.012326410360404E-2</v>
      </c>
      <c r="F28" s="48">
        <f t="shared" ref="F28:I28" si="15">F27/G5</f>
        <v>2.2578055865172986E-3</v>
      </c>
      <c r="G28" s="48">
        <f t="shared" si="15"/>
        <v>4.9380157360407892E-2</v>
      </c>
      <c r="H28" s="48">
        <f t="shared" si="15"/>
        <v>4.4119810669682909E-2</v>
      </c>
      <c r="I28" s="48">
        <f t="shared" si="15"/>
        <v>3.0346952842924796E-2</v>
      </c>
    </row>
    <row r="29" spans="1:18" x14ac:dyDescent="0.3">
      <c r="A29" s="3" t="s">
        <v>39</v>
      </c>
      <c r="B29" s="1">
        <f>B26/B9/4</f>
        <v>3.5170295000723224E-2</v>
      </c>
    </row>
    <row r="30" spans="1:18" ht="28.8" x14ac:dyDescent="0.3">
      <c r="D30" s="53" t="s">
        <v>4</v>
      </c>
      <c r="E30" s="5" t="s">
        <v>46</v>
      </c>
      <c r="F30" s="5" t="s">
        <v>47</v>
      </c>
      <c r="G30" s="5" t="s">
        <v>45</v>
      </c>
      <c r="H30" s="52" t="s">
        <v>48</v>
      </c>
      <c r="I30" s="50"/>
    </row>
    <row r="31" spans="1:18" ht="15.6" x14ac:dyDescent="0.3">
      <c r="A31" s="61" t="s">
        <v>60</v>
      </c>
      <c r="B31" s="27">
        <f>POWER(B28/5/(B12^2 + B13^2 + B14^2 + B15^D302 + B16^2 + B17^2),1/2) * 9.81 / 4 / PI()^2</f>
        <v>0</v>
      </c>
      <c r="D31" s="5" t="s">
        <v>30</v>
      </c>
      <c r="E31" s="10">
        <f xml:space="preserve"> POWER(((E17-H17)^2 + (F17-H17)^2 + (G17-H17)^2) / 6,1/2)</f>
        <v>0.10170764201594902</v>
      </c>
      <c r="F31" s="10">
        <f>4.3 * E31</f>
        <v>0.43734286066858075</v>
      </c>
      <c r="G31" s="48">
        <f>POWER(F31^2 + (2/3*0.005)^2,1/2)</f>
        <v>0.43735556345939941</v>
      </c>
      <c r="H31" s="48">
        <f>G31/H17</f>
        <v>2.6991703155280777E-2</v>
      </c>
      <c r="I31" s="16"/>
    </row>
    <row r="32" spans="1:18" ht="15.6" x14ac:dyDescent="0.3">
      <c r="A32" s="64"/>
      <c r="B32" s="68"/>
      <c r="D32" s="5" t="s">
        <v>31</v>
      </c>
      <c r="E32" s="10">
        <f t="shared" ref="E32:E35" si="16" xml:space="preserve"> POWER(((E18-H18)^2 + (F18-H18)^2 + (G18-H18)^2) / 6,1/2)</f>
        <v>5.364492313143638E-2</v>
      </c>
      <c r="F32" s="10">
        <f t="shared" ref="F32:F35" si="17">4.3 * E32</f>
        <v>0.23067316946517644</v>
      </c>
      <c r="G32" s="48">
        <f t="shared" ref="G32:G36" si="18">POWER(F32^2 + (2/3*0.005)^2,1/2)</f>
        <v>0.23069725230748009</v>
      </c>
      <c r="H32" s="48">
        <f t="shared" ref="H32:H36" si="19">G32/H18</f>
        <v>1.3360844728232438E-2</v>
      </c>
      <c r="I32" s="16"/>
    </row>
    <row r="33" spans="1:22" ht="15.6" x14ac:dyDescent="0.3">
      <c r="A33" s="4" t="s">
        <v>61</v>
      </c>
      <c r="B33" s="9">
        <f>SUMPRODUCT(A12:A17,_xlfn.ANCHORARRAY(B12))/SUMSQ(_xlfn.ANCHORARRAY(B12))</f>
        <v>82.910831369792803</v>
      </c>
      <c r="C33">
        <f>B34/B33</f>
        <v>6.9188662186459624E-2</v>
      </c>
      <c r="D33" s="5" t="s">
        <v>32</v>
      </c>
      <c r="E33" s="10">
        <f t="shared" si="16"/>
        <v>0.13544166435940011</v>
      </c>
      <c r="F33" s="10">
        <f t="shared" si="17"/>
        <v>0.58239915674542042</v>
      </c>
      <c r="G33" s="48">
        <f t="shared" si="18"/>
        <v>0.58240869575315224</v>
      </c>
      <c r="H33" s="48">
        <f t="shared" si="19"/>
        <v>3.2165428705070997E-2</v>
      </c>
      <c r="I33" s="51"/>
      <c r="U33" t="s">
        <v>25</v>
      </c>
      <c r="V33" t="s">
        <v>77</v>
      </c>
    </row>
    <row r="34" spans="1:22" ht="15.6" x14ac:dyDescent="0.3">
      <c r="A34" s="61" t="s">
        <v>62</v>
      </c>
      <c r="B34" s="69">
        <f>POWER((B27/5/(SUMSQ(_xlfn.ANCHORARRAY(B12)))),1/2)</f>
        <v>5.7364895032431136</v>
      </c>
      <c r="C34" s="71">
        <f>B26*C33</f>
        <v>3.9712853967987715E-3</v>
      </c>
      <c r="D34" s="33" t="s">
        <v>33</v>
      </c>
      <c r="E34" s="10">
        <f t="shared" si="16"/>
        <v>2.645751311064579E-2</v>
      </c>
      <c r="F34" s="10">
        <f t="shared" si="17"/>
        <v>0.11376730637577689</v>
      </c>
      <c r="G34" s="48">
        <f t="shared" si="18"/>
        <v>0.11381612851925248</v>
      </c>
      <c r="H34" s="48">
        <f t="shared" si="19"/>
        <v>5.8337328815608646E-3</v>
      </c>
      <c r="I34" s="51"/>
      <c r="U34" s="45">
        <v>0</v>
      </c>
      <c r="V34" s="1">
        <f>4*PI()*PI() * U34 / 9.81 / $B$26</f>
        <v>0</v>
      </c>
    </row>
    <row r="35" spans="1:22" ht="15.6" x14ac:dyDescent="0.3">
      <c r="A35" s="64"/>
      <c r="B35" s="68"/>
      <c r="D35" s="5" t="s">
        <v>34</v>
      </c>
      <c r="E35" s="10">
        <f t="shared" si="16"/>
        <v>3.382963855030726E-2</v>
      </c>
      <c r="F35" s="10">
        <f t="shared" si="17"/>
        <v>0.1454674457663212</v>
      </c>
      <c r="G35" s="48">
        <f t="shared" si="18"/>
        <v>0.1455056318115856</v>
      </c>
      <c r="H35" s="48">
        <f t="shared" si="19"/>
        <v>6.9167627227817597E-3</v>
      </c>
      <c r="I35" s="51"/>
      <c r="U35" s="9" cm="1">
        <f t="array" ref="U35:U40">TRANSPOSE($E$12:$J$12)</f>
        <v>3.1905128000000005E-2</v>
      </c>
      <c r="V35" s="1">
        <f>4*PI()*PI()*U35/9.81/ $B$26</f>
        <v>2.2369437068545652</v>
      </c>
    </row>
    <row r="36" spans="1:22" ht="15.6" x14ac:dyDescent="0.3">
      <c r="A36" s="70"/>
      <c r="B36" s="67"/>
      <c r="D36" s="5" t="s">
        <v>35</v>
      </c>
      <c r="E36" s="10">
        <f xml:space="preserve"> POWER(((E22-H22)^2 + (F22-H22)^2 + (G22-H22)^2) / 6,1/2)</f>
        <v>9.2616293262998764E-2</v>
      </c>
      <c r="F36" s="10">
        <f>4.3 * E36</f>
        <v>0.39825006103089466</v>
      </c>
      <c r="G36" s="48">
        <f t="shared" si="18"/>
        <v>0.39826401070423428</v>
      </c>
      <c r="H36" s="48">
        <f t="shared" si="19"/>
        <v>1.7846034833647544E-2</v>
      </c>
      <c r="I36" s="16"/>
      <c r="U36" s="9">
        <v>3.5556727999999996E-2</v>
      </c>
      <c r="V36" s="1">
        <f>4*PI()*PI()*U36/9.81/ $B$26</f>
        <v>2.4929659876600239</v>
      </c>
    </row>
    <row r="37" spans="1:22" ht="15.6" x14ac:dyDescent="0.3">
      <c r="A37" s="62"/>
      <c r="B37" s="67"/>
      <c r="U37" s="9">
        <v>4.0228328000000001E-2</v>
      </c>
      <c r="V37" s="1">
        <f t="shared" ref="V37:V40" si="20">4*PI()*PI()*U37/9.81/ $B$26</f>
        <v>2.8205028720424279</v>
      </c>
    </row>
    <row r="38" spans="1:22" ht="43.2" x14ac:dyDescent="0.3">
      <c r="A38" s="35" t="s">
        <v>4</v>
      </c>
      <c r="B38" s="5" t="s">
        <v>63</v>
      </c>
      <c r="C38" s="5" t="s">
        <v>64</v>
      </c>
      <c r="D38" s="7" t="s">
        <v>65</v>
      </c>
      <c r="E38" s="12" t="s">
        <v>7</v>
      </c>
      <c r="F38" s="8" t="s">
        <v>6</v>
      </c>
      <c r="G38" s="8" t="s">
        <v>8</v>
      </c>
      <c r="H38" s="12" t="s">
        <v>9</v>
      </c>
      <c r="I38" s="12" t="s">
        <v>10</v>
      </c>
      <c r="J38" s="12"/>
      <c r="U38" s="9">
        <v>4.5919927999999999E-2</v>
      </c>
      <c r="V38" s="1">
        <f t="shared" si="20"/>
        <v>3.2195543600017755</v>
      </c>
    </row>
    <row r="39" spans="1:22" ht="15.6" x14ac:dyDescent="0.3">
      <c r="A39" s="5" t="s">
        <v>30</v>
      </c>
      <c r="B39" s="11">
        <f>2*$B$34*B12</f>
        <v>0.36604686374325596</v>
      </c>
      <c r="C39" s="11">
        <f>B39/B20</f>
        <v>0.16363704755805661</v>
      </c>
      <c r="D39" s="4" t="s">
        <v>57</v>
      </c>
      <c r="E39">
        <f>2*$O$19^(1/2)*M3</f>
        <v>1.9813929801383131E-2</v>
      </c>
      <c r="F39">
        <f>2*$O$19^(1/2)*M4</f>
        <v>3.6031063424763518E-2</v>
      </c>
      <c r="G39">
        <f>2*$O$19^(1/2)*M5</f>
        <v>5.4028762067390372E-2</v>
      </c>
      <c r="H39">
        <f>2*$O$19^(1/2)*M6</f>
        <v>7.8258438172438965E-2</v>
      </c>
      <c r="I39">
        <f>2*$O$19^(1/2)*M7</f>
        <v>0.10400804190243157</v>
      </c>
      <c r="J39">
        <f t="shared" ref="J39" si="21">2*$O$19^(1/2)*R3</f>
        <v>0</v>
      </c>
      <c r="U39" s="9">
        <v>5.2631527999999997E-2</v>
      </c>
      <c r="V39" s="1">
        <f t="shared" si="20"/>
        <v>3.6901204515380663</v>
      </c>
    </row>
    <row r="40" spans="1:22" ht="15.6" x14ac:dyDescent="0.3">
      <c r="A40" s="5" t="s">
        <v>31</v>
      </c>
      <c r="B40" s="11">
        <f t="shared" ref="B40:B44" si="22">2*$B$34*B13</f>
        <v>0.40794159388334095</v>
      </c>
      <c r="C40" s="11">
        <f t="shared" ref="C40:C44" si="23">B40/B21</f>
        <v>0.16363704755805664</v>
      </c>
      <c r="D40" s="4" t="s">
        <v>66</v>
      </c>
      <c r="E40">
        <f>E39/O3</f>
        <v>-0.21536880218894708</v>
      </c>
      <c r="F40">
        <f>F39/O4</f>
        <v>-0.18197506780183595</v>
      </c>
      <c r="G40">
        <f>G39/O5</f>
        <v>-0.16883988146059492</v>
      </c>
      <c r="H40">
        <f>H39/O6</f>
        <v>-0.16902470447611007</v>
      </c>
      <c r="I40">
        <f>I39/O7</f>
        <v>-0.16430970284744323</v>
      </c>
      <c r="U40" s="9">
        <v>6.0363128000000016E-2</v>
      </c>
      <c r="V40" s="1">
        <f t="shared" si="20"/>
        <v>4.2322011466513025</v>
      </c>
    </row>
    <row r="41" spans="1:22" ht="15.6" x14ac:dyDescent="0.3">
      <c r="A41" s="5" t="s">
        <v>32</v>
      </c>
      <c r="B41" s="11">
        <f t="shared" si="22"/>
        <v>0.46153876261004206</v>
      </c>
      <c r="C41" s="11">
        <f t="shared" si="23"/>
        <v>0.16363704755805661</v>
      </c>
    </row>
    <row r="42" spans="1:22" ht="43.2" x14ac:dyDescent="0.3">
      <c r="A42" s="5" t="s">
        <v>33</v>
      </c>
      <c r="B42" s="11">
        <f t="shared" si="22"/>
        <v>0.52683836992335908</v>
      </c>
      <c r="C42" s="11">
        <f t="shared" si="23"/>
        <v>0.16363704755805661</v>
      </c>
      <c r="E42" s="35" t="s">
        <v>4</v>
      </c>
      <c r="F42" s="5" t="s">
        <v>67</v>
      </c>
      <c r="G42" s="5" t="s">
        <v>68</v>
      </c>
    </row>
    <row r="43" spans="1:22" ht="15.6" x14ac:dyDescent="0.3">
      <c r="A43" s="5" t="s">
        <v>34</v>
      </c>
      <c r="B43" s="11">
        <f t="shared" si="22"/>
        <v>0.60384041582329206</v>
      </c>
      <c r="C43" s="11">
        <f t="shared" si="23"/>
        <v>0.16363704755805666</v>
      </c>
      <c r="E43" s="5" t="s">
        <v>30</v>
      </c>
      <c r="F43" s="1">
        <f t="shared" ref="F43:F48" si="24">($I17*2*9.81/4/PI()^2*G31)</f>
        <v>0.35219102791671442</v>
      </c>
      <c r="G43" s="1">
        <f>F43/E13</f>
        <v>0.53928433391711705</v>
      </c>
    </row>
    <row r="44" spans="1:22" ht="15.6" x14ac:dyDescent="0.3">
      <c r="A44" s="5" t="s">
        <v>35</v>
      </c>
      <c r="B44" s="11">
        <f t="shared" si="22"/>
        <v>0.69254490030984117</v>
      </c>
      <c r="C44" s="11">
        <f t="shared" si="23"/>
        <v>0.16363704755805666</v>
      </c>
      <c r="E44" s="5" t="s">
        <v>31</v>
      </c>
      <c r="F44" s="1">
        <f t="shared" si="24"/>
        <v>0.19796581094497423</v>
      </c>
      <c r="G44" s="1">
        <f>F44/F13</f>
        <v>0.26721689456464881</v>
      </c>
    </row>
    <row r="45" spans="1:22" ht="15.6" x14ac:dyDescent="0.3">
      <c r="E45" s="5" t="s">
        <v>32</v>
      </c>
      <c r="F45" s="1">
        <f t="shared" si="24"/>
        <v>0.52408969879233114</v>
      </c>
      <c r="G45" s="1">
        <f>F45/G13</f>
        <v>0.64330857410142006</v>
      </c>
    </row>
    <row r="46" spans="1:22" ht="15.6" x14ac:dyDescent="0.3">
      <c r="E46" s="5" t="s">
        <v>33</v>
      </c>
      <c r="F46" s="1">
        <f t="shared" si="24"/>
        <v>0.11035711656737617</v>
      </c>
      <c r="G46" s="1">
        <f>F46/H13</f>
        <v>0.11667465763121732</v>
      </c>
    </row>
    <row r="47" spans="1:22" ht="15.6" x14ac:dyDescent="0.3">
      <c r="A47">
        <f>2.57*C34</f>
        <v>1.0206203469772843E-2</v>
      </c>
      <c r="E47" s="5" t="s">
        <v>34</v>
      </c>
      <c r="F47" s="1">
        <f t="shared" si="24"/>
        <v>0.15212338998082353</v>
      </c>
      <c r="G47" s="1">
        <f>F47/I13</f>
        <v>0.13833525445563519</v>
      </c>
    </row>
    <row r="48" spans="1:22" ht="15.6" x14ac:dyDescent="0.3">
      <c r="E48" s="5" t="s">
        <v>35</v>
      </c>
      <c r="F48" s="1">
        <f t="shared" si="24"/>
        <v>0.44171246585028717</v>
      </c>
      <c r="G48" s="1">
        <f>F48/J13</f>
        <v>0.35692069667295084</v>
      </c>
    </row>
    <row r="50" spans="4:10" x14ac:dyDescent="0.3">
      <c r="D50" s="23" t="s">
        <v>24</v>
      </c>
      <c r="E50" s="22">
        <v>1</v>
      </c>
      <c r="F50" s="22">
        <v>2</v>
      </c>
      <c r="G50" s="2">
        <v>3</v>
      </c>
      <c r="H50" s="22">
        <v>4</v>
      </c>
      <c r="I50" s="22">
        <v>5</v>
      </c>
      <c r="J50" s="22">
        <v>6</v>
      </c>
    </row>
    <row r="51" spans="4:10" ht="15.6" x14ac:dyDescent="0.3">
      <c r="D51" s="5" t="s">
        <v>70</v>
      </c>
      <c r="E51" s="31">
        <f>POWER((2*$E$8*$M$23*$B$9)^2 + (2*$E$9*$R$23*$B$9)^2 + (4*E10*M23*$B$9)^2 + (($E$8^2+$E$9^2+2*E10^2)*0.0005)^2,1/2)</f>
        <v>2.0660794385562718E-4</v>
      </c>
      <c r="F51" s="31">
        <f t="shared" ref="F51:J51" si="25">POWER((2*$E$8*$M$23*$B$9)^2 + (2*$E$9*$R$23*$B$9)^2 + (4*F10*N23*$B$9)^2 + (($E$8^2+$E$9^2+2*F10^2)*0.0005)^2,1/2)</f>
        <v>2.186369258521762E-4</v>
      </c>
      <c r="G51" s="31">
        <f t="shared" si="25"/>
        <v>2.4238711429366451E-4</v>
      </c>
      <c r="H51" s="31">
        <f t="shared" si="25"/>
        <v>2.8361256817850997E-4</v>
      </c>
      <c r="I51" s="31">
        <f t="shared" si="25"/>
        <v>3.4549136686998412E-4</v>
      </c>
      <c r="J51" s="31">
        <f t="shared" si="25"/>
        <v>4.2854635934779563E-4</v>
      </c>
    </row>
    <row r="52" spans="4:10" ht="15.6" x14ac:dyDescent="0.3">
      <c r="D52" s="5" t="s">
        <v>71</v>
      </c>
      <c r="E52" s="30">
        <f t="shared" ref="E52:J52" si="26">E51/E12</f>
        <v>6.4756970683718038E-3</v>
      </c>
      <c r="F52" s="30">
        <f t="shared" si="26"/>
        <v>6.1489607776108145E-3</v>
      </c>
      <c r="G52" s="30">
        <f t="shared" si="26"/>
        <v>6.0252843293329148E-3</v>
      </c>
      <c r="H52" s="30">
        <f t="shared" si="26"/>
        <v>6.1762415694229739E-3</v>
      </c>
      <c r="I52" s="30">
        <f t="shared" si="26"/>
        <v>6.5643423248130687E-3</v>
      </c>
      <c r="J52" s="30">
        <f t="shared" si="26"/>
        <v>7.0994723690892148E-3</v>
      </c>
    </row>
    <row r="54" spans="4:10" x14ac:dyDescent="0.3">
      <c r="D54" s="23" t="s">
        <v>24</v>
      </c>
      <c r="E54" s="22">
        <v>1</v>
      </c>
      <c r="F54" s="22">
        <v>2</v>
      </c>
      <c r="G54" s="2">
        <v>3</v>
      </c>
      <c r="H54" s="22">
        <v>4</v>
      </c>
      <c r="I54" s="22">
        <v>5</v>
      </c>
      <c r="J54" s="22">
        <v>6</v>
      </c>
    </row>
    <row r="55" spans="4:10" ht="18" x14ac:dyDescent="0.3">
      <c r="D55" s="5" t="s">
        <v>72</v>
      </c>
      <c r="E55" s="31">
        <f t="shared" ref="E55:J55" si="27">POWER((E51/$B$26)^2 + (E12*$C$34/($B$26^2))^2,1/2)</f>
        <v>3.8627195847042169E-2</v>
      </c>
      <c r="F55" s="31">
        <f t="shared" si="27"/>
        <v>4.3029758973130251E-2</v>
      </c>
      <c r="G55" s="31">
        <f t="shared" si="27"/>
        <v>4.8675602086704718E-2</v>
      </c>
      <c r="H55" s="31">
        <f t="shared" si="27"/>
        <v>5.5572950435783315E-2</v>
      </c>
      <c r="I55" s="31">
        <f t="shared" si="27"/>
        <v>6.3728051795787763E-2</v>
      </c>
      <c r="J55" s="31">
        <f t="shared" si="27"/>
        <v>7.3145038004380089E-2</v>
      </c>
    </row>
    <row r="56" spans="4:10" ht="18" x14ac:dyDescent="0.3">
      <c r="D56" s="5" t="s">
        <v>73</v>
      </c>
      <c r="E56" s="30">
        <f>E55/E14</f>
        <v>6.9491047104453307E-2</v>
      </c>
      <c r="F56" s="30">
        <f t="shared" ref="F56:J56" si="28">F55/F14</f>
        <v>6.9461361157096724E-2</v>
      </c>
      <c r="G56" s="30">
        <f t="shared" si="28"/>
        <v>6.9450522146354901E-2</v>
      </c>
      <c r="H56" s="30">
        <f t="shared" si="28"/>
        <v>6.9463781462542729E-2</v>
      </c>
      <c r="I56" s="30">
        <f t="shared" si="28"/>
        <v>6.9499363776291942E-2</v>
      </c>
      <c r="J56" s="30">
        <f t="shared" si="28"/>
        <v>6.9551948089694005E-2</v>
      </c>
    </row>
  </sheetData>
  <mergeCells count="2">
    <mergeCell ref="E8:J8"/>
    <mergeCell ref="E9:J9"/>
  </mergeCells>
  <phoneticPr fontId="13" type="noConversion"/>
  <pageMargins left="0.7" right="0.7" top="0.75" bottom="0.75" header="0.3" footer="0.3"/>
  <pageSetup paperSize="9" orientation="portrait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78CC-F6A5-4AE6-8CCF-A5BABACF0A9E}">
  <dimension ref="A1:R50"/>
  <sheetViews>
    <sheetView tabSelected="1" topLeftCell="A25" workbookViewId="0">
      <selection activeCell="K39" sqref="K39"/>
    </sheetView>
  </sheetViews>
  <sheetFormatPr defaultRowHeight="14.4" x14ac:dyDescent="0.3"/>
  <cols>
    <col min="2" max="6" width="12.44140625" bestFit="1" customWidth="1"/>
    <col min="8" max="9" width="9.44140625" bestFit="1" customWidth="1"/>
    <col min="11" max="11" width="9.44140625" bestFit="1" customWidth="1"/>
    <col min="14" max="14" width="8.33203125" customWidth="1"/>
  </cols>
  <sheetData>
    <row r="1" spans="1:18" ht="15.6" x14ac:dyDescent="0.3">
      <c r="A1" s="77" t="s">
        <v>25</v>
      </c>
      <c r="B1" s="76">
        <v>3.1905128000000005E-2</v>
      </c>
      <c r="C1" s="76">
        <v>3.5556727999999996E-2</v>
      </c>
      <c r="D1" s="76">
        <v>4.0228328000000001E-2</v>
      </c>
      <c r="E1" s="76">
        <v>4.5919927999999999E-2</v>
      </c>
      <c r="F1" s="76">
        <v>5.2631527999999997E-2</v>
      </c>
      <c r="G1" s="76">
        <v>6.0363128000000016E-2</v>
      </c>
      <c r="H1" s="75"/>
      <c r="I1" s="75">
        <f>AVERAGE(B1:G1)</f>
        <v>4.4434127999999996E-2</v>
      </c>
      <c r="J1" s="75"/>
      <c r="K1" s="75"/>
      <c r="L1" s="75"/>
    </row>
    <row r="2" spans="1:18" x14ac:dyDescent="0.3">
      <c r="A2" s="75" t="s">
        <v>13</v>
      </c>
      <c r="B2" s="75">
        <v>1.620333333333333</v>
      </c>
      <c r="C2" s="75">
        <v>1.7266666666666666</v>
      </c>
      <c r="D2" s="75">
        <v>1.8106666666666669</v>
      </c>
      <c r="E2" s="75">
        <v>1.9510000000000001</v>
      </c>
      <c r="F2" s="75">
        <v>2.1036666666666664</v>
      </c>
      <c r="G2" s="75">
        <v>2.2316666666666665</v>
      </c>
      <c r="H2" s="75"/>
      <c r="I2" s="49"/>
      <c r="J2" s="75"/>
      <c r="K2" s="75"/>
      <c r="L2" s="75"/>
    </row>
    <row r="3" spans="1:18" x14ac:dyDescent="0.3">
      <c r="A3" s="75"/>
      <c r="B3" s="75">
        <f>B2*B2</f>
        <v>2.6254801111111097</v>
      </c>
      <c r="C3" s="75">
        <f t="shared" ref="C3:G3" si="0">C2*C2</f>
        <v>2.9813777777777775</v>
      </c>
      <c r="D3" s="75">
        <f t="shared" si="0"/>
        <v>3.2785137777777784</v>
      </c>
      <c r="E3" s="75">
        <f t="shared" si="0"/>
        <v>3.8064010000000001</v>
      </c>
      <c r="F3" s="75">
        <f t="shared" si="0"/>
        <v>4.4254134444444428</v>
      </c>
      <c r="G3" s="75">
        <f t="shared" si="0"/>
        <v>4.98033611111111</v>
      </c>
      <c r="H3" s="75"/>
      <c r="I3" s="75">
        <f>AVERAGE(B3:G3)</f>
        <v>3.6829203703703701</v>
      </c>
      <c r="J3" s="75"/>
      <c r="K3" s="75"/>
      <c r="L3" s="75"/>
    </row>
    <row r="4" spans="1:18" x14ac:dyDescent="0.3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8" x14ac:dyDescent="0.3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8" x14ac:dyDescent="0.3">
      <c r="A6" s="75"/>
      <c r="B6" s="75">
        <f t="shared" ref="B6:G6" si="1">B1*B3</f>
        <v>8.3766279006454183E-2</v>
      </c>
      <c r="C6" s="75">
        <f t="shared" si="1"/>
        <v>0.10600803870968886</v>
      </c>
      <c r="D6" s="75">
        <f t="shared" si="1"/>
        <v>0.13188912760496357</v>
      </c>
      <c r="E6" s="75">
        <f t="shared" si="1"/>
        <v>0.174789659859128</v>
      </c>
      <c r="F6" s="75">
        <f t="shared" si="1"/>
        <v>0.23291627161285414</v>
      </c>
      <c r="G6" s="75">
        <f t="shared" si="1"/>
        <v>0.30062866615802225</v>
      </c>
      <c r="H6" s="75"/>
      <c r="I6" s="75"/>
      <c r="J6" s="75" t="s">
        <v>79</v>
      </c>
      <c r="K6" s="49">
        <f>SUM(B13:G13)/SUM(B12:G12)</f>
        <v>83.442608328254764</v>
      </c>
      <c r="O6" t="s">
        <v>78</v>
      </c>
      <c r="P6">
        <v>9.82</v>
      </c>
      <c r="R6" s="75"/>
    </row>
    <row r="7" spans="1:18" x14ac:dyDescent="0.3">
      <c r="A7" s="75"/>
      <c r="B7" s="75">
        <f t="shared" ref="B7:G7" si="2">B1*B1</f>
        <v>1.0179371926963842E-3</v>
      </c>
      <c r="C7" s="75">
        <f t="shared" si="2"/>
        <v>1.2642809060659837E-3</v>
      </c>
      <c r="D7" s="75">
        <f t="shared" si="2"/>
        <v>1.6183183736755841E-3</v>
      </c>
      <c r="E7" s="75">
        <f t="shared" si="2"/>
        <v>2.1086397875251838E-3</v>
      </c>
      <c r="F7" s="75">
        <f t="shared" si="2"/>
        <v>2.7700777396147836E-3</v>
      </c>
      <c r="G7" s="75">
        <f t="shared" si="2"/>
        <v>3.643707221944386E-3</v>
      </c>
      <c r="H7" s="75"/>
      <c r="I7" s="75"/>
      <c r="J7" s="75" t="s">
        <v>80</v>
      </c>
      <c r="K7" s="78">
        <f>I3-K6*I1</f>
        <v>-2.4779168741167812E-2</v>
      </c>
      <c r="R7" s="75"/>
    </row>
    <row r="8" spans="1:18" x14ac:dyDescent="0.3">
      <c r="A8" s="75"/>
      <c r="B8" s="75"/>
      <c r="C8" s="75"/>
      <c r="D8" s="75"/>
      <c r="E8" s="75"/>
      <c r="F8" s="75"/>
      <c r="G8" s="75"/>
      <c r="I8" s="75"/>
      <c r="J8" s="75"/>
      <c r="K8" s="75"/>
      <c r="R8" s="75"/>
    </row>
    <row r="9" spans="1:18" x14ac:dyDescent="0.3">
      <c r="A9" s="75"/>
      <c r="I9" s="75"/>
      <c r="J9" t="s">
        <v>79</v>
      </c>
      <c r="K9" s="75">
        <f>SUM(B6:G6)/SUM(B7:G7)</f>
        <v>82.910831369792803</v>
      </c>
      <c r="M9" t="s">
        <v>37</v>
      </c>
      <c r="N9">
        <f>4*POWER(PI(),2)/(K6*P6)</f>
        <v>4.8179288006879192E-2</v>
      </c>
      <c r="R9" s="75"/>
    </row>
    <row r="10" spans="1:18" x14ac:dyDescent="0.3">
      <c r="A10" s="75"/>
      <c r="B10" s="75">
        <f t="shared" ref="B10:G10" si="3">B1-$I$1</f>
        <v>-1.2528999999999992E-2</v>
      </c>
      <c r="C10" s="75">
        <f t="shared" si="3"/>
        <v>-8.8774000000000006E-3</v>
      </c>
      <c r="D10" s="75">
        <f t="shared" si="3"/>
        <v>-4.2057999999999957E-3</v>
      </c>
      <c r="E10" s="75">
        <f t="shared" si="3"/>
        <v>1.4858000000000024E-3</v>
      </c>
      <c r="F10" s="75">
        <f t="shared" si="3"/>
        <v>8.1974000000000005E-3</v>
      </c>
      <c r="G10" s="75">
        <f t="shared" si="3"/>
        <v>1.592900000000002E-2</v>
      </c>
      <c r="I10" s="75"/>
      <c r="J10" s="49"/>
      <c r="K10" s="75"/>
      <c r="L10" s="75"/>
      <c r="M10" s="75"/>
      <c r="N10" s="75"/>
      <c r="O10" s="75"/>
      <c r="P10" s="75"/>
      <c r="Q10" s="75"/>
    </row>
    <row r="11" spans="1:18" x14ac:dyDescent="0.3">
      <c r="A11" s="75"/>
      <c r="B11" s="75">
        <f t="shared" ref="B11:G11" si="4">B3-$I$3</f>
        <v>-1.0574402592592604</v>
      </c>
      <c r="C11" s="75">
        <f t="shared" si="4"/>
        <v>-0.70154259259259266</v>
      </c>
      <c r="D11" s="75">
        <f t="shared" si="4"/>
        <v>-0.40440659259259171</v>
      </c>
      <c r="E11" s="75">
        <f t="shared" si="4"/>
        <v>0.12348062962963002</v>
      </c>
      <c r="F11" s="75">
        <f t="shared" si="4"/>
        <v>0.74249307407407272</v>
      </c>
      <c r="G11" s="75">
        <f t="shared" si="4"/>
        <v>1.2974157407407398</v>
      </c>
      <c r="I11" s="75"/>
      <c r="J11" s="75"/>
      <c r="K11" s="75"/>
      <c r="L11" s="75"/>
      <c r="M11" s="75" t="s">
        <v>39</v>
      </c>
      <c r="N11" s="75"/>
      <c r="O11" s="75"/>
      <c r="P11" s="75"/>
      <c r="Q11" s="75"/>
    </row>
    <row r="12" spans="1:18" x14ac:dyDescent="0.3">
      <c r="A12" s="75"/>
      <c r="B12" s="75">
        <f>B10*B10</f>
        <v>1.5697584099999979E-4</v>
      </c>
      <c r="C12" s="75">
        <f t="shared" ref="C12:F12" si="5">C10*C10</f>
        <v>7.8808230760000011E-5</v>
      </c>
      <c r="D12" s="75">
        <f t="shared" si="5"/>
        <v>1.7688753639999962E-5</v>
      </c>
      <c r="E12" s="75">
        <f t="shared" si="5"/>
        <v>2.2076016400000071E-6</v>
      </c>
      <c r="F12" s="75">
        <f t="shared" si="5"/>
        <v>6.7197366760000002E-5</v>
      </c>
      <c r="G12" s="75">
        <f>G10*G10</f>
        <v>2.5373304100000061E-4</v>
      </c>
      <c r="I12" s="75"/>
      <c r="J12" s="75"/>
      <c r="K12" s="75"/>
      <c r="L12" s="75"/>
    </row>
    <row r="13" spans="1:18" x14ac:dyDescent="0.3">
      <c r="A13" s="75"/>
      <c r="B13" s="75">
        <f>B10*B11</f>
        <v>1.3248669008259266E-2</v>
      </c>
      <c r="C13" s="75">
        <f t="shared" ref="C13:G13" si="6">C10*C11</f>
        <v>6.2278742114814829E-3</v>
      </c>
      <c r="D13" s="75">
        <f t="shared" si="6"/>
        <v>1.7008532471259204E-3</v>
      </c>
      <c r="E13" s="75">
        <f t="shared" si="6"/>
        <v>1.8346751950370458E-4</v>
      </c>
      <c r="F13" s="75">
        <f t="shared" si="6"/>
        <v>6.0865127254148043E-3</v>
      </c>
      <c r="G13" s="75">
        <f t="shared" si="6"/>
        <v>2.0666535334259269E-2</v>
      </c>
      <c r="I13" s="75"/>
      <c r="J13" s="75"/>
      <c r="K13" s="75"/>
      <c r="L13" s="75"/>
    </row>
    <row r="14" spans="1:18" x14ac:dyDescent="0.3">
      <c r="A14" s="75"/>
      <c r="I14" s="75"/>
      <c r="J14" s="75"/>
      <c r="K14" s="75"/>
      <c r="L14" s="75"/>
    </row>
    <row r="15" spans="1:18" x14ac:dyDescent="0.3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</row>
    <row r="16" spans="1:18" x14ac:dyDescent="0.3">
      <c r="A16" s="75"/>
      <c r="B16" s="75"/>
      <c r="C16" s="75"/>
      <c r="D16" s="75"/>
      <c r="E16" s="75"/>
      <c r="F16" s="75"/>
      <c r="G16" s="75"/>
      <c r="H16" s="75" t="s">
        <v>82</v>
      </c>
      <c r="I16" s="49">
        <f>B3*$P$6/(4*POWER(PI(),2))</f>
        <v>0.65307112735606165</v>
      </c>
      <c r="J16" s="49">
        <f t="shared" ref="J16:N16" si="7">C3*$P$6/(4*POWER(PI(),2))</f>
        <v>0.74159836068369445</v>
      </c>
      <c r="K16" s="49">
        <f t="shared" si="7"/>
        <v>0.81550901103554507</v>
      </c>
      <c r="L16" s="49">
        <f t="shared" si="7"/>
        <v>0.94681752938026342</v>
      </c>
      <c r="M16" s="49">
        <f t="shared" si="7"/>
        <v>1.1007928549711627</v>
      </c>
      <c r="N16" s="49">
        <f t="shared" si="7"/>
        <v>1.2388262645489874</v>
      </c>
    </row>
    <row r="17" spans="1:14" x14ac:dyDescent="0.3">
      <c r="G17" s="75"/>
      <c r="H17" s="75" t="s">
        <v>81</v>
      </c>
      <c r="I17" s="49">
        <f>B1/$N$9</f>
        <v>0.66221667691404007</v>
      </c>
      <c r="J17" s="49">
        <f t="shared" ref="J17:M17" si="8">C1/$N$9</f>
        <v>0.7380085815075369</v>
      </c>
      <c r="K17" s="49">
        <f t="shared" si="8"/>
        <v>0.83497140917184309</v>
      </c>
      <c r="L17" s="49">
        <f t="shared" si="8"/>
        <v>0.95310515990695843</v>
      </c>
      <c r="M17" s="49">
        <f t="shared" si="8"/>
        <v>1.0924098337128829</v>
      </c>
      <c r="N17" s="49">
        <f>G1/$N$9</f>
        <v>1.2528854305896171</v>
      </c>
    </row>
    <row r="18" spans="1:14" x14ac:dyDescent="0.3">
      <c r="G18" s="75"/>
      <c r="H18" s="75"/>
      <c r="I18" s="75"/>
      <c r="J18" s="75"/>
      <c r="K18" s="75"/>
      <c r="L18" s="75"/>
    </row>
    <row r="19" spans="1:14" x14ac:dyDescent="0.3">
      <c r="A19">
        <v>0.52359877559829882</v>
      </c>
      <c r="B19" s="75">
        <v>0.43633231299858238</v>
      </c>
      <c r="C19" s="75">
        <v>0.3490658503988659</v>
      </c>
      <c r="D19" s="75">
        <v>0.26179938779914941</v>
      </c>
      <c r="E19" s="75">
        <v>0.174532925199433</v>
      </c>
      <c r="F19" s="75">
        <v>8.7266462599716474E-2</v>
      </c>
      <c r="G19" s="75"/>
      <c r="H19" s="75"/>
      <c r="I19" s="75"/>
      <c r="J19" s="75"/>
      <c r="K19" s="75"/>
      <c r="L19" s="75"/>
    </row>
    <row r="20" spans="1:14" x14ac:dyDescent="0.3">
      <c r="B20" s="75">
        <v>16.7</v>
      </c>
      <c r="C20" s="75">
        <v>33.020000000000003</v>
      </c>
      <c r="D20" s="75">
        <v>47.56</v>
      </c>
      <c r="E20" s="75">
        <v>65.56</v>
      </c>
      <c r="F20" s="75">
        <v>87.45</v>
      </c>
      <c r="G20" s="75"/>
      <c r="H20" s="75"/>
      <c r="I20" s="75"/>
      <c r="J20" s="75"/>
      <c r="K20" s="75"/>
      <c r="L20" s="75"/>
    </row>
    <row r="21" spans="1:14" x14ac:dyDescent="0.3">
      <c r="B21" s="75">
        <v>16.82</v>
      </c>
      <c r="C21" s="75">
        <v>33.049999999999997</v>
      </c>
      <c r="D21" s="75">
        <v>49.29</v>
      </c>
      <c r="E21" s="75">
        <v>67.64</v>
      </c>
      <c r="F21" s="75">
        <v>85.52</v>
      </c>
      <c r="G21" s="75"/>
      <c r="H21" s="75"/>
      <c r="I21" s="75"/>
      <c r="J21" s="75"/>
      <c r="K21" s="75"/>
      <c r="L21" s="75"/>
    </row>
    <row r="22" spans="1:14" x14ac:dyDescent="0.3">
      <c r="B22">
        <v>16.55</v>
      </c>
      <c r="C22">
        <v>32.99</v>
      </c>
      <c r="D22">
        <v>47.71</v>
      </c>
      <c r="E22">
        <v>67.599999999999994</v>
      </c>
      <c r="F22">
        <v>85.75</v>
      </c>
      <c r="G22" t="s">
        <v>83</v>
      </c>
      <c r="H22" s="49">
        <f>AVERAGE(B19:F19)</f>
        <v>0.26179938779914941</v>
      </c>
    </row>
    <row r="23" spans="1:14" x14ac:dyDescent="0.3">
      <c r="A23">
        <v>0</v>
      </c>
      <c r="B23" s="75">
        <f>AVERAGE(B20:B22)</f>
        <v>16.689999999999998</v>
      </c>
      <c r="C23" s="75">
        <f t="shared" ref="C23:E23" si="9">AVERAGE(C20:C22)</f>
        <v>33.020000000000003</v>
      </c>
      <c r="D23" s="75">
        <f t="shared" si="9"/>
        <v>48.186666666666667</v>
      </c>
      <c r="E23" s="75">
        <f t="shared" si="9"/>
        <v>66.933333333333323</v>
      </c>
      <c r="F23" s="75">
        <f>AVERAGE(F20:F22)</f>
        <v>86.240000000000009</v>
      </c>
      <c r="G23" t="s">
        <v>84</v>
      </c>
      <c r="H23" s="75">
        <f>AVERAGE(B23:F23)</f>
        <v>50.213999999999999</v>
      </c>
    </row>
    <row r="26" spans="1:14" x14ac:dyDescent="0.3">
      <c r="B26" s="75">
        <f>B23-$H$23</f>
        <v>-33.524000000000001</v>
      </c>
      <c r="C26">
        <f t="shared" ref="C26:F26" si="10">C23-$H$23</f>
        <v>-17.193999999999996</v>
      </c>
      <c r="D26">
        <f t="shared" si="10"/>
        <v>-2.0273333333333312</v>
      </c>
      <c r="E26">
        <f t="shared" si="10"/>
        <v>16.719333333333324</v>
      </c>
      <c r="F26">
        <f t="shared" si="10"/>
        <v>36.02600000000001</v>
      </c>
    </row>
    <row r="27" spans="1:14" x14ac:dyDescent="0.3">
      <c r="B27">
        <f>B26*B26</f>
        <v>1123.8585760000001</v>
      </c>
      <c r="C27">
        <f t="shared" ref="C27:F27" si="11">C26*C26</f>
        <v>295.63363599999985</v>
      </c>
      <c r="D27">
        <f t="shared" si="11"/>
        <v>4.1100804444444359</v>
      </c>
      <c r="E27">
        <f t="shared" si="11"/>
        <v>279.53610711111082</v>
      </c>
      <c r="F27">
        <f t="shared" si="11"/>
        <v>1297.8726760000009</v>
      </c>
    </row>
    <row r="28" spans="1:14" x14ac:dyDescent="0.3">
      <c r="B28" s="75">
        <f>B19-$H$22</f>
        <v>0.17453292519943298</v>
      </c>
      <c r="C28" s="75">
        <f>C19-$H$22</f>
        <v>8.7266462599716488E-2</v>
      </c>
      <c r="D28" s="75">
        <f>D19-$H$22</f>
        <v>0</v>
      </c>
      <c r="E28" s="75">
        <f>E19-$H$22</f>
        <v>-8.7266462599716405E-2</v>
      </c>
      <c r="F28" s="75">
        <f>F19-$H$22</f>
        <v>-0.17453292519943292</v>
      </c>
      <c r="G28" t="s">
        <v>86</v>
      </c>
      <c r="H28" s="49">
        <f>SUM(B29:F29)/SUM(B27:F27)</f>
        <v>-5.0310582675175833E-3</v>
      </c>
    </row>
    <row r="29" spans="1:14" x14ac:dyDescent="0.3">
      <c r="B29">
        <f>B26*B28</f>
        <v>-5.8510417843857914</v>
      </c>
      <c r="C29">
        <f t="shared" ref="C29:F29" si="12">C26*C28</f>
        <v>-1.5004595579395248</v>
      </c>
      <c r="D29">
        <f t="shared" si="12"/>
        <v>0</v>
      </c>
      <c r="E29">
        <f t="shared" si="12"/>
        <v>-1.4590370770255243</v>
      </c>
      <c r="F29">
        <f t="shared" si="12"/>
        <v>-6.2877231632347721</v>
      </c>
      <c r="G29" t="s">
        <v>85</v>
      </c>
      <c r="H29" s="49">
        <f>H22-H23*H28</f>
        <v>0.51442894764427738</v>
      </c>
    </row>
    <row r="31" spans="1:14" x14ac:dyDescent="0.3">
      <c r="G31" t="s">
        <v>87</v>
      </c>
      <c r="H31">
        <f>SUM(B27:F27)</f>
        <v>3001.0110755555561</v>
      </c>
    </row>
    <row r="32" spans="1:14" x14ac:dyDescent="0.3">
      <c r="E32" t="s">
        <v>13</v>
      </c>
      <c r="F32">
        <v>1.8160000000000001</v>
      </c>
      <c r="G32" t="s">
        <v>88</v>
      </c>
      <c r="H32" s="49">
        <f>SUM(B36:F36)</f>
        <v>1.9412118646668086E-4</v>
      </c>
    </row>
    <row r="34" spans="2:13" x14ac:dyDescent="0.3">
      <c r="I34" s="49">
        <f>-H28*F32/4</f>
        <v>2.2841004534529829E-3</v>
      </c>
    </row>
    <row r="35" spans="2:13" x14ac:dyDescent="0.3">
      <c r="B35" s="49">
        <f>B19-($H$29+$H$28*B23)</f>
        <v>5.8717278391734462E-3</v>
      </c>
      <c r="C35" s="49">
        <f>C19-($H$29+$H$28*C23)</f>
        <v>7.6244674801911883E-4</v>
      </c>
      <c r="D35" s="49">
        <f t="shared" ref="C35:F35" si="13">D19-($H$29+$H$28*D23)</f>
        <v>-1.0199632127680658E-2</v>
      </c>
      <c r="E35" s="49">
        <f t="shared" si="13"/>
        <v>-3.1505224056675163E-3</v>
      </c>
      <c r="F35" s="49">
        <f t="shared" si="13"/>
        <v>6.715979946155512E-3</v>
      </c>
    </row>
    <row r="36" spans="2:13" x14ac:dyDescent="0.3">
      <c r="B36" s="49">
        <f>B35*B35</f>
        <v>3.4477187817324466E-5</v>
      </c>
      <c r="C36" s="49">
        <f>C35*C35</f>
        <v>5.8132504356492963E-7</v>
      </c>
      <c r="D36" s="49">
        <f t="shared" ref="C36:F36" si="14">D35*D35</f>
        <v>1.0403249554001546E-4</v>
      </c>
      <c r="E36" s="49">
        <f t="shared" si="14"/>
        <v>9.9257914286130347E-6</v>
      </c>
      <c r="F36" s="49">
        <f t="shared" si="14"/>
        <v>4.5104386637162994E-5</v>
      </c>
    </row>
    <row r="37" spans="2:13" x14ac:dyDescent="0.3">
      <c r="G37" t="s">
        <v>89</v>
      </c>
      <c r="H37" s="67">
        <f>SQRT(H32/(H31*3))</f>
        <v>1.4683921092280159E-4</v>
      </c>
    </row>
    <row r="38" spans="2:13" x14ac:dyDescent="0.3">
      <c r="I38" s="67">
        <f>H37*2.78</f>
        <v>4.082130063653884E-4</v>
      </c>
      <c r="K38" s="80">
        <f>SQRT(POWER(F32*I38/4,2)+POWER(H28*M47/4,2))</f>
        <v>4.5931681471103706E-4</v>
      </c>
    </row>
    <row r="42" spans="2:13" x14ac:dyDescent="0.3">
      <c r="G42" s="75">
        <v>18.2</v>
      </c>
      <c r="H42" s="75">
        <v>18.010000000000002</v>
      </c>
      <c r="I42" s="75">
        <v>18.260000000000002</v>
      </c>
      <c r="J42" s="75"/>
      <c r="K42" s="75"/>
    </row>
    <row r="43" spans="2:13" x14ac:dyDescent="0.3">
      <c r="G43" s="75">
        <f>G42-$K$43</f>
        <v>4.3333333333333002E-2</v>
      </c>
      <c r="H43" s="75">
        <f t="shared" ref="H43:I43" si="15">H42-$K$43</f>
        <v>-0.14666666666666472</v>
      </c>
      <c r="I43" s="75">
        <f t="shared" si="15"/>
        <v>0.10333333333333528</v>
      </c>
      <c r="J43" s="75"/>
      <c r="K43" s="75">
        <f>AVERAGE(G42:I42)</f>
        <v>18.156666666666666</v>
      </c>
    </row>
    <row r="44" spans="2:13" x14ac:dyDescent="0.3">
      <c r="G44" s="75">
        <f>G43*G43</f>
        <v>1.8777777777777491E-3</v>
      </c>
      <c r="H44" s="75">
        <f t="shared" ref="H44:I44" si="16">H43*H43</f>
        <v>2.151111111111054E-2</v>
      </c>
      <c r="I44" s="75">
        <f t="shared" si="16"/>
        <v>1.067777777777818E-2</v>
      </c>
      <c r="J44" s="75"/>
      <c r="K44" s="75"/>
    </row>
    <row r="45" spans="2:13" x14ac:dyDescent="0.3">
      <c r="G45" s="75"/>
      <c r="H45" s="75"/>
      <c r="I45" s="75"/>
      <c r="J45" s="75"/>
      <c r="K45" s="75"/>
    </row>
    <row r="46" spans="2:13" x14ac:dyDescent="0.3">
      <c r="G46" s="75"/>
      <c r="H46" s="75"/>
      <c r="I46" s="75"/>
      <c r="J46" s="80">
        <f>SUM(G44:I44)/6</f>
        <v>5.6777777777777443E-3</v>
      </c>
      <c r="K46" s="80">
        <f xml:space="preserve"> SQRT(J46)</f>
        <v>7.5351030369715216E-2</v>
      </c>
      <c r="L46">
        <f>K46*4.3</f>
        <v>0.32400943058977544</v>
      </c>
    </row>
    <row r="47" spans="2:13" x14ac:dyDescent="0.3">
      <c r="G47" s="75"/>
      <c r="H47" s="75"/>
      <c r="I47" s="75"/>
      <c r="J47" s="75"/>
      <c r="K47" s="75"/>
      <c r="M47" s="49">
        <f>SQRT(L46*L46+(2/3)*0.01)</f>
        <v>0.33413886002345966</v>
      </c>
    </row>
    <row r="48" spans="2:13" x14ac:dyDescent="0.3">
      <c r="G48" s="75"/>
      <c r="H48" s="75"/>
      <c r="I48" s="75"/>
      <c r="J48" s="75"/>
      <c r="K48" s="75"/>
    </row>
    <row r="49" spans="7:14" x14ac:dyDescent="0.3">
      <c r="G49" s="75"/>
      <c r="H49" s="75"/>
      <c r="I49" s="75"/>
      <c r="J49" s="75"/>
      <c r="K49" s="75"/>
      <c r="M49">
        <f>M47/K43</f>
        <v>1.8403094915923977E-2</v>
      </c>
      <c r="N49">
        <f>M49*100</f>
        <v>1.8403094915923977</v>
      </c>
    </row>
    <row r="50" spans="7:14" x14ac:dyDescent="0.3">
      <c r="G50" s="75"/>
      <c r="H50" s="75"/>
      <c r="I50" s="75"/>
      <c r="J50" s="75"/>
      <c r="K50" s="7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Русик Русик</dc:creator>
  <cp:lastModifiedBy>Ступин Тимур Русланович</cp:lastModifiedBy>
  <dcterms:created xsi:type="dcterms:W3CDTF">2023-05-16T15:07:58Z</dcterms:created>
  <dcterms:modified xsi:type="dcterms:W3CDTF">2024-12-04T11:56:28Z</dcterms:modified>
</cp:coreProperties>
</file>
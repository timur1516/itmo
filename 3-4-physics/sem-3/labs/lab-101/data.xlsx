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Мой диск\ИТМО\2_курс\Физика\лабы\ЛР101\"/>
    </mc:Choice>
  </mc:AlternateContent>
  <xr:revisionPtr revIDLastSave="0" documentId="13_ncr:1_{B404EE23-05CB-44F5-A5E3-48B2F7522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лица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M3" i="1"/>
  <c r="F3" i="1" s="1"/>
  <c r="I2" i="1" l="1"/>
  <c r="P2" i="1" s="1"/>
  <c r="F4" i="1"/>
  <c r="G2" i="1"/>
  <c r="H2" i="1" s="1"/>
  <c r="O2" i="1" s="1"/>
  <c r="F5" i="1" l="1"/>
  <c r="F6" i="1" s="1"/>
  <c r="G4" i="1" l="1"/>
  <c r="H4" i="1" s="1"/>
  <c r="O3" i="1" s="1"/>
  <c r="F7" i="1"/>
  <c r="G6" i="1" s="1"/>
  <c r="H6" i="1" s="1"/>
  <c r="O4" i="1" s="1"/>
  <c r="F8" i="1" l="1"/>
  <c r="F9" i="1" s="1"/>
  <c r="F10" i="1" l="1"/>
  <c r="F11" i="1" s="1"/>
  <c r="G8" i="1"/>
  <c r="H8" i="1" s="1"/>
  <c r="O5" i="1" s="1"/>
  <c r="G10" i="1" l="1"/>
  <c r="H10" i="1" s="1"/>
  <c r="O6" i="1" s="1"/>
  <c r="F12" i="1"/>
  <c r="F13" i="1" l="1"/>
  <c r="G12" i="1" s="1"/>
  <c r="H12" i="1" s="1"/>
  <c r="O7" i="1" s="1"/>
  <c r="F14" i="1" l="1"/>
  <c r="G26" i="1"/>
  <c r="B3" i="1" s="1"/>
  <c r="F15" i="1" l="1"/>
  <c r="G14" i="1" s="1"/>
  <c r="H14" i="1" s="1"/>
  <c r="O8" i="1" s="1"/>
  <c r="B2" i="1"/>
  <c r="B51" i="1"/>
  <c r="C51" i="1" s="1"/>
  <c r="I4" i="1"/>
  <c r="P3" i="1" s="1"/>
  <c r="I6" i="1"/>
  <c r="P4" i="1" s="1"/>
  <c r="I8" i="1"/>
  <c r="P5" i="1" s="1"/>
  <c r="I10" i="1"/>
  <c r="P6" i="1" s="1"/>
  <c r="I12" i="1"/>
  <c r="P7" i="1" s="1"/>
  <c r="I14" i="1"/>
  <c r="P8" i="1" s="1"/>
  <c r="B14" i="1" l="1"/>
  <c r="C14" i="1" s="1"/>
  <c r="B42" i="1"/>
  <c r="C42" i="1" s="1"/>
  <c r="B30" i="1"/>
  <c r="C30" i="1" s="1"/>
  <c r="B18" i="1"/>
  <c r="C18" i="1" s="1"/>
  <c r="B6" i="1"/>
  <c r="C6" i="1" s="1"/>
  <c r="B49" i="1"/>
  <c r="C49" i="1" s="1"/>
  <c r="B37" i="1"/>
  <c r="C37" i="1" s="1"/>
  <c r="B25" i="1"/>
  <c r="C25" i="1" s="1"/>
  <c r="B13" i="1"/>
  <c r="C13" i="1" s="1"/>
  <c r="B48" i="1"/>
  <c r="C48" i="1" s="1"/>
  <c r="B36" i="1"/>
  <c r="C36" i="1" s="1"/>
  <c r="B24" i="1"/>
  <c r="C24" i="1" s="1"/>
  <c r="B12" i="1"/>
  <c r="C12" i="1" s="1"/>
  <c r="B47" i="1"/>
  <c r="C47" i="1" s="1"/>
  <c r="B35" i="1"/>
  <c r="C35" i="1" s="1"/>
  <c r="B23" i="1"/>
  <c r="C23" i="1" s="1"/>
  <c r="B11" i="1"/>
  <c r="C11" i="1" s="1"/>
  <c r="B46" i="1"/>
  <c r="C46" i="1" s="1"/>
  <c r="B34" i="1"/>
  <c r="C34" i="1" s="1"/>
  <c r="B22" i="1"/>
  <c r="C22" i="1" s="1"/>
  <c r="B10" i="1"/>
  <c r="C10" i="1" s="1"/>
  <c r="B45" i="1"/>
  <c r="C45" i="1" s="1"/>
  <c r="B33" i="1"/>
  <c r="C33" i="1" s="1"/>
  <c r="B21" i="1"/>
  <c r="C21" i="1" s="1"/>
  <c r="B9" i="1"/>
  <c r="C9" i="1" s="1"/>
  <c r="B44" i="1"/>
  <c r="C44" i="1" s="1"/>
  <c r="B32" i="1"/>
  <c r="C32" i="1" s="1"/>
  <c r="B20" i="1"/>
  <c r="C20" i="1" s="1"/>
  <c r="B8" i="1"/>
  <c r="C8" i="1" s="1"/>
  <c r="B43" i="1"/>
  <c r="C43" i="1" s="1"/>
  <c r="B31" i="1"/>
  <c r="C31" i="1" s="1"/>
  <c r="B19" i="1"/>
  <c r="C19" i="1" s="1"/>
  <c r="B7" i="1"/>
  <c r="C7" i="1" s="1"/>
  <c r="B41" i="1"/>
  <c r="C41" i="1" s="1"/>
  <c r="B29" i="1"/>
  <c r="C29" i="1" s="1"/>
  <c r="B17" i="1"/>
  <c r="C17" i="1" s="1"/>
  <c r="B5" i="1"/>
  <c r="C5" i="1" s="1"/>
  <c r="B4" i="1"/>
  <c r="B40" i="1"/>
  <c r="C40" i="1" s="1"/>
  <c r="B28" i="1"/>
  <c r="C28" i="1" s="1"/>
  <c r="B16" i="1"/>
  <c r="C16" i="1" s="1"/>
  <c r="C3" i="1"/>
  <c r="B39" i="1"/>
  <c r="C39" i="1" s="1"/>
  <c r="B27" i="1"/>
  <c r="C27" i="1" s="1"/>
  <c r="B15" i="1"/>
  <c r="C15" i="1" s="1"/>
  <c r="B50" i="1"/>
  <c r="C50" i="1" s="1"/>
  <c r="B38" i="1"/>
  <c r="C38" i="1" s="1"/>
  <c r="B26" i="1"/>
  <c r="C26" i="1" s="1"/>
  <c r="G27" i="1" l="1"/>
  <c r="C4" i="1"/>
  <c r="C2" i="1"/>
  <c r="G30" i="1" l="1"/>
  <c r="G28" i="1"/>
  <c r="G29" i="1" s="1"/>
  <c r="G23" i="1" l="1"/>
  <c r="G22" i="1"/>
  <c r="H22" i="1"/>
  <c r="H23" i="1"/>
  <c r="I23" i="1" s="1"/>
  <c r="J23" i="1" s="1"/>
  <c r="H21" i="1"/>
  <c r="G21" i="1"/>
  <c r="I21" i="1" s="1"/>
  <c r="J21" i="1" s="1"/>
  <c r="J2" i="1"/>
  <c r="Q2" i="1" s="1"/>
  <c r="J6" i="1"/>
  <c r="Q4" i="1" s="1"/>
  <c r="J14" i="1"/>
  <c r="Q8" i="1" s="1"/>
  <c r="J8" i="1"/>
  <c r="Q5" i="1" s="1"/>
  <c r="J10" i="1"/>
  <c r="Q6" i="1" s="1"/>
  <c r="J4" i="1"/>
  <c r="Q3" i="1" s="1"/>
  <c r="J12" i="1"/>
  <c r="Q7" i="1" s="1"/>
  <c r="I22" i="1" l="1"/>
  <c r="J22" i="1" s="1"/>
</calcChain>
</file>

<file path=xl/sharedStrings.xml><?xml version="1.0" encoding="utf-8"?>
<sst xmlns="http://schemas.openxmlformats.org/spreadsheetml/2006/main" count="26" uniqueCount="22">
  <si>
    <t>𝑡𝑖 , с</t>
  </si>
  <si>
    <t>𝑡𝑖 − ⟨𝑡⟩_𝑁 , с</t>
  </si>
  <si>
    <t>Границы интервалов, c</t>
  </si>
  <si>
    <t>∆N</t>
  </si>
  <si>
    <t>Δ𝑁/𝑁Δ𝑡 , c -1</t>
  </si>
  <si>
    <t>𝑡, c</t>
  </si>
  <si>
    <t>𝜌, c -1</t>
  </si>
  <si>
    <t>от</t>
  </si>
  <si>
    <t>до</t>
  </si>
  <si>
    <t>P</t>
  </si>
  <si>
    <t>∆𝑁 /N</t>
  </si>
  <si>
    <t>(𝑡𝑖 − ⟨𝑡⟩_𝑁 )^ 2 , с^2</t>
  </si>
  <si>
    <t>⟨𝑡⟩_N=</t>
  </si>
  <si>
    <t>𝜎_N=</t>
  </si>
  <si>
    <t>𝜌_𝑚𝑎x=</t>
  </si>
  <si>
    <t>∑︀ 𝑁 𝑖=1 (𝑡𝑖 − ⟨𝑡⟩_𝑁 )=</t>
  </si>
  <si>
    <t>⟨𝑡⟩𝑁 ± 𝜎_N</t>
  </si>
  <si>
    <t>⟨𝑡⟩𝑁 ± 2𝜎_N</t>
  </si>
  <si>
    <t>⟨𝑡⟩𝑁 ± 3𝜎_N</t>
  </si>
  <si>
    <t>m=</t>
  </si>
  <si>
    <t>Δ𝑡</t>
  </si>
  <si>
    <t>D(t)=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</si>
</sst>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/>
    <xf numFmtId="164" fontId="0" fillId="0" borderId="0" xfId="0" applyNumberFormat="1"/>
    <xf numFmtId="2" fontId="0" fillId="0" borderId="1" xfId="0" applyNumberFormat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64" fontId="0" fillId="0" borderId="3" xfId="0" applyNumberFormat="1" applyBorder="1"/>
    <xf numFmtId="1" fontId="0" fillId="0" borderId="0" xfId="0" applyNumberFormat="1"/>
    <xf numFmtId="1" fontId="0" fillId="0" borderId="7" xfId="0" applyNumberFormat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7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5" zoomScale="85" zoomScaleNormal="85" workbookViewId="0">
      <selection activeCell="O23" sqref="O23"/>
    </sheetView>
  </sheetViews>
  <sheetFormatPr defaultRowHeight="14.4" x14ac:dyDescent="0.3"/>
  <cols>
    <col min="1" max="1" width="18" customWidth="1"/>
    <col min="2" max="2" width="12.5546875" customWidth="1"/>
    <col min="3" max="3" width="16.88671875" customWidth="1"/>
    <col min="5" max="5" width="4.88671875" customWidth="1"/>
    <col min="6" max="6" width="13.44140625" customWidth="1"/>
    <col min="7" max="7" width="9.44140625" bestFit="1" customWidth="1"/>
    <col min="8" max="8" width="12.88671875" customWidth="1"/>
    <col min="15" max="15" width="13" customWidth="1"/>
    <col min="16" max="16" width="13.33203125" customWidth="1"/>
    <col min="17" max="17" width="10.88671875" customWidth="1"/>
  </cols>
  <sheetData>
    <row r="1" spans="1:17" ht="29.4" thickBot="1" x14ac:dyDescent="0.35">
      <c r="A1" s="6" t="s">
        <v>0</v>
      </c>
      <c r="B1" s="4" t="s">
        <v>1</v>
      </c>
      <c r="C1" s="5" t="s">
        <v>11</v>
      </c>
      <c r="F1" s="3" t="s">
        <v>2</v>
      </c>
      <c r="G1" s="4" t="s">
        <v>3</v>
      </c>
      <c r="H1" s="4" t="s">
        <v>4</v>
      </c>
      <c r="I1" s="4" t="s">
        <v>5</v>
      </c>
      <c r="J1" s="5" t="s">
        <v>6</v>
      </c>
      <c r="O1" s="6" t="s">
        <v>4</v>
      </c>
      <c r="P1" s="4" t="s">
        <v>5</v>
      </c>
      <c r="Q1" s="5" t="s">
        <v>6</v>
      </c>
    </row>
    <row r="2" spans="1:17" x14ac:dyDescent="0.3">
      <c r="A2" s="17">
        <v>5.2</v>
      </c>
      <c r="B2" s="2">
        <f t="shared" ref="B2:B33" si="0">A2-G$26</f>
        <v>-0.10320000000000018</v>
      </c>
      <c r="C2" s="7">
        <f>POWER(B2,2)</f>
        <v>1.0650240000000036E-2</v>
      </c>
      <c r="F2" s="17">
        <f>MIN(A2:A51)</f>
        <v>4.42</v>
      </c>
      <c r="G2" s="26">
        <f>COUNTIFS($A$2:$A$50,"&gt;="&amp;F2,$A$2:$A$50,"&lt;="&amp;F3)</f>
        <v>1</v>
      </c>
      <c r="H2" s="22">
        <f>G2/(50*(F3-F2))</f>
        <v>8.4337349397590217E-2</v>
      </c>
      <c r="I2" s="22">
        <f>(F2+F3)/2</f>
        <v>4.5385714285714283</v>
      </c>
      <c r="J2" s="23">
        <f>(1/($G$28*SQRT(2*PI())))*EXP(-(POWER(I2-$G$26,2))/(2*POWER($G$28,2)))</f>
        <v>0.10490941704954944</v>
      </c>
      <c r="L2" s="6" t="s">
        <v>19</v>
      </c>
      <c r="M2" s="5">
        <v>7</v>
      </c>
      <c r="O2" s="17">
        <f>H2</f>
        <v>8.4337349397590217E-2</v>
      </c>
      <c r="P2" s="1">
        <f>I2</f>
        <v>4.5385714285714283</v>
      </c>
      <c r="Q2" s="19">
        <f>J2</f>
        <v>0.10490941704954944</v>
      </c>
    </row>
    <row r="3" spans="1:17" ht="15" thickBot="1" x14ac:dyDescent="0.35">
      <c r="A3" s="17">
        <v>6.02</v>
      </c>
      <c r="B3" s="2">
        <f t="shared" si="0"/>
        <v>0.71679999999999922</v>
      </c>
      <c r="C3" s="7">
        <f t="shared" ref="C3:C51" si="1">POWER(B3,2)</f>
        <v>0.51380223999999886</v>
      </c>
      <c r="F3" s="17">
        <f>F2+$M$3</f>
        <v>4.6571428571428575</v>
      </c>
      <c r="G3" s="26"/>
      <c r="H3" s="22"/>
      <c r="I3" s="22"/>
      <c r="J3" s="23"/>
      <c r="L3" s="12" t="s">
        <v>20</v>
      </c>
      <c r="M3" s="9">
        <f>(MAX(A2:A51)-MIN(A2:A51))/M2</f>
        <v>0.23714285714285716</v>
      </c>
      <c r="O3" s="17">
        <f>H4</f>
        <v>0.42168674698795111</v>
      </c>
      <c r="P3" s="1">
        <f>I4</f>
        <v>4.7757142857142867</v>
      </c>
      <c r="Q3" s="19">
        <f>J4</f>
        <v>0.36622009313555159</v>
      </c>
    </row>
    <row r="4" spans="1:17" x14ac:dyDescent="0.3">
      <c r="A4" s="17">
        <v>5.8</v>
      </c>
      <c r="B4" s="2">
        <f t="shared" si="0"/>
        <v>0.49679999999999946</v>
      </c>
      <c r="C4" s="7">
        <f t="shared" si="1"/>
        <v>0.24681023999999946</v>
      </c>
      <c r="F4" s="17">
        <f>F3</f>
        <v>4.6571428571428575</v>
      </c>
      <c r="G4" s="26">
        <f t="shared" ref="G4" si="2">COUNTIFS($A$2:$A$50,"&gt;="&amp;F4,$A$2:$A$50,"&lt;="&amp;F5)</f>
        <v>5</v>
      </c>
      <c r="H4" s="22">
        <f t="shared" ref="H4" si="3">G4/(50*(F5-F4))</f>
        <v>0.42168674698795111</v>
      </c>
      <c r="I4" s="22">
        <f>(F4+F5)/2</f>
        <v>4.7757142857142867</v>
      </c>
      <c r="J4" s="23">
        <f t="shared" ref="J4" si="4">(1/($G$28*SQRT(2*PI())))*EXP(-(POWER(I4-$G$26,2))/(2*POWER($G$28,2)))</f>
        <v>0.36622009313555159</v>
      </c>
      <c r="O4" s="17">
        <f>H6</f>
        <v>0.75903614457831192</v>
      </c>
      <c r="P4" s="1">
        <f>I6</f>
        <v>5.0128571428571433</v>
      </c>
      <c r="Q4" s="19">
        <f>J6</f>
        <v>0.80794515479530837</v>
      </c>
    </row>
    <row r="5" spans="1:17" x14ac:dyDescent="0.3">
      <c r="A5" s="17">
        <v>5.56</v>
      </c>
      <c r="B5" s="2">
        <f t="shared" si="0"/>
        <v>0.25679999999999925</v>
      </c>
      <c r="C5" s="7">
        <f t="shared" si="1"/>
        <v>6.5946239999999615E-2</v>
      </c>
      <c r="F5" s="17">
        <f>F4+$M$3</f>
        <v>4.894285714285715</v>
      </c>
      <c r="G5" s="26"/>
      <c r="H5" s="22"/>
      <c r="I5" s="22"/>
      <c r="J5" s="23"/>
      <c r="O5" s="17">
        <f>H8</f>
        <v>1.3493975903614435</v>
      </c>
      <c r="P5" s="1">
        <f>I8</f>
        <v>5.2500000000000018</v>
      </c>
      <c r="Q5" s="19">
        <f>J8</f>
        <v>1.1265062617372112</v>
      </c>
    </row>
    <row r="6" spans="1:17" x14ac:dyDescent="0.3">
      <c r="A6" s="17">
        <v>5.08</v>
      </c>
      <c r="B6" s="2">
        <f t="shared" si="0"/>
        <v>-0.22320000000000029</v>
      </c>
      <c r="C6" s="7">
        <f t="shared" si="1"/>
        <v>4.9818240000000132E-2</v>
      </c>
      <c r="F6" s="17">
        <f>F5</f>
        <v>4.894285714285715</v>
      </c>
      <c r="G6" s="26">
        <f t="shared" ref="G6" si="5">COUNTIFS($A$2:$A$50,"&gt;="&amp;F6,$A$2:$A$50,"&lt;="&amp;F7)</f>
        <v>9</v>
      </c>
      <c r="H6" s="22">
        <f t="shared" ref="H6" si="6">G6/(50*(F7-F6))</f>
        <v>0.75903614457831192</v>
      </c>
      <c r="I6" s="22">
        <f>(F6+F7)/2</f>
        <v>5.0128571428571433</v>
      </c>
      <c r="J6" s="23">
        <f t="shared" ref="J6" si="7">(1/($G$28*SQRT(2*PI())))*EXP(-(POWER(I6-$G$26,2))/(2*POWER($G$28,2)))</f>
        <v>0.80794515479530837</v>
      </c>
      <c r="O6" s="17">
        <f>H10</f>
        <v>0.75903614457831192</v>
      </c>
      <c r="P6" s="1">
        <f>I10</f>
        <v>5.4871428571428584</v>
      </c>
      <c r="Q6" s="19">
        <f>J10</f>
        <v>0.9926527647547424</v>
      </c>
    </row>
    <row r="7" spans="1:17" x14ac:dyDescent="0.3">
      <c r="A7" s="17">
        <v>5.8</v>
      </c>
      <c r="B7" s="2">
        <f t="shared" si="0"/>
        <v>0.49679999999999946</v>
      </c>
      <c r="C7" s="7">
        <f t="shared" si="1"/>
        <v>0.24681023999999946</v>
      </c>
      <c r="F7" s="17">
        <f>F6+$M$3</f>
        <v>5.1314285714285726</v>
      </c>
      <c r="G7" s="26"/>
      <c r="H7" s="22"/>
      <c r="I7" s="22"/>
      <c r="J7" s="23"/>
      <c r="O7" s="17">
        <f>H12</f>
        <v>0.42168674698795111</v>
      </c>
      <c r="P7" s="1">
        <f>I12</f>
        <v>5.7242857142857169</v>
      </c>
      <c r="Q7" s="19">
        <f>J12</f>
        <v>0.55280647350789058</v>
      </c>
    </row>
    <row r="8" spans="1:17" ht="15" thickBot="1" x14ac:dyDescent="0.35">
      <c r="A8" s="17">
        <v>5.26</v>
      </c>
      <c r="B8" s="2">
        <f t="shared" si="0"/>
        <v>-4.3200000000000571E-2</v>
      </c>
      <c r="C8" s="7">
        <f t="shared" si="1"/>
        <v>1.8662400000000494E-3</v>
      </c>
      <c r="F8" s="17">
        <f>F7</f>
        <v>5.1314285714285726</v>
      </c>
      <c r="G8" s="26">
        <f t="shared" ref="G8" si="8">COUNTIFS($A$2:$A$50,"&gt;="&amp;F8,$A$2:$A$50,"&lt;="&amp;F9)</f>
        <v>16</v>
      </c>
      <c r="H8" s="22">
        <f t="shared" ref="H8" si="9">G8/(50*(F9-F8))</f>
        <v>1.3493975903614435</v>
      </c>
      <c r="I8" s="22">
        <f>(F8+F9)/2</f>
        <v>5.2500000000000018</v>
      </c>
      <c r="J8" s="23">
        <f t="shared" ref="J8" si="10">(1/($G$28*SQRT(2*PI())))*EXP(-(POWER(I8-$G$26,2))/(2*POWER($G$28,2)))</f>
        <v>1.1265062617372112</v>
      </c>
      <c r="O8" s="18">
        <f>H14</f>
        <v>0.33734939759036087</v>
      </c>
      <c r="P8" s="20">
        <f>I14</f>
        <v>5.9614285714285735</v>
      </c>
      <c r="Q8" s="21">
        <f>J14</f>
        <v>0.19456328972770584</v>
      </c>
    </row>
    <row r="9" spans="1:17" x14ac:dyDescent="0.3">
      <c r="A9" s="17">
        <v>5.5</v>
      </c>
      <c r="B9" s="2">
        <f t="shared" si="0"/>
        <v>0.19679999999999964</v>
      </c>
      <c r="C9" s="7">
        <f t="shared" si="1"/>
        <v>3.873023999999986E-2</v>
      </c>
      <c r="F9" s="17">
        <f>F8+$M$3</f>
        <v>5.3685714285714301</v>
      </c>
      <c r="G9" s="26"/>
      <c r="H9" s="22"/>
      <c r="I9" s="22"/>
      <c r="J9" s="23"/>
      <c r="O9" s="1"/>
    </row>
    <row r="10" spans="1:17" x14ac:dyDescent="0.3">
      <c r="A10" s="17">
        <v>5.28</v>
      </c>
      <c r="B10" s="2">
        <f t="shared" si="0"/>
        <v>-2.3200000000000109E-2</v>
      </c>
      <c r="C10" s="7">
        <f t="shared" si="1"/>
        <v>5.3824000000000504E-4</v>
      </c>
      <c r="F10" s="17">
        <f>F9</f>
        <v>5.3685714285714301</v>
      </c>
      <c r="G10" s="26">
        <f t="shared" ref="G10" si="11">COUNTIFS($A$2:$A$50,"&gt;="&amp;F10,$A$2:$A$50,"&lt;="&amp;F11)</f>
        <v>9</v>
      </c>
      <c r="H10" s="22">
        <f t="shared" ref="H10" si="12">G10/(50*(F11-F10))</f>
        <v>0.75903614457831192</v>
      </c>
      <c r="I10" s="22">
        <f>(F10+F11)/2</f>
        <v>5.4871428571428584</v>
      </c>
      <c r="J10" s="23">
        <f t="shared" ref="J10" si="13">(1/($G$28*SQRT(2*PI())))*EXP(-(POWER(I10-$G$26,2))/(2*POWER($G$28,2)))</f>
        <v>0.9926527647547424</v>
      </c>
      <c r="O10" s="1"/>
    </row>
    <row r="11" spans="1:17" x14ac:dyDescent="0.3">
      <c r="A11" s="17">
        <v>5.34</v>
      </c>
      <c r="B11" s="2">
        <f t="shared" si="0"/>
        <v>3.67999999999995E-2</v>
      </c>
      <c r="C11" s="7">
        <f t="shared" si="1"/>
        <v>1.3542399999999632E-3</v>
      </c>
      <c r="F11" s="17">
        <f>F10+$M$3</f>
        <v>5.6057142857142876</v>
      </c>
      <c r="G11" s="26"/>
      <c r="H11" s="22"/>
      <c r="I11" s="22"/>
      <c r="J11" s="23"/>
    </row>
    <row r="12" spans="1:17" x14ac:dyDescent="0.3">
      <c r="A12" s="17">
        <v>5.38</v>
      </c>
      <c r="B12" s="2">
        <f t="shared" si="0"/>
        <v>7.6799999999999535E-2</v>
      </c>
      <c r="C12" s="7">
        <f t="shared" si="1"/>
        <v>5.8982399999999288E-3</v>
      </c>
      <c r="F12" s="17">
        <f>F11</f>
        <v>5.6057142857142876</v>
      </c>
      <c r="G12" s="26">
        <f t="shared" ref="G12" si="14">COUNTIFS($A$2:$A$50,"&gt;="&amp;F12,$A$2:$A$50,"&lt;="&amp;F13)</f>
        <v>5</v>
      </c>
      <c r="H12" s="22">
        <f t="shared" ref="H12" si="15">G12/(50*(F13-F12))</f>
        <v>0.42168674698795111</v>
      </c>
      <c r="I12" s="22">
        <f>(F12+F13)/2</f>
        <v>5.7242857142857169</v>
      </c>
      <c r="J12" s="23">
        <f t="shared" ref="J12" si="16">(1/($G$28*SQRT(2*PI())))*EXP(-(POWER(I12-$G$26,2))/(2*POWER($G$28,2)))</f>
        <v>0.55280647350789058</v>
      </c>
    </row>
    <row r="13" spans="1:17" x14ac:dyDescent="0.3">
      <c r="A13" s="17">
        <v>6</v>
      </c>
      <c r="B13" s="2">
        <f t="shared" si="0"/>
        <v>0.69679999999999964</v>
      </c>
      <c r="C13" s="7">
        <f t="shared" si="1"/>
        <v>0.4855302399999995</v>
      </c>
      <c r="F13" s="17">
        <f>F12+$M$3</f>
        <v>5.8428571428571452</v>
      </c>
      <c r="G13" s="26"/>
      <c r="H13" s="22"/>
      <c r="I13" s="22"/>
      <c r="J13" s="23"/>
    </row>
    <row r="14" spans="1:17" x14ac:dyDescent="0.3">
      <c r="A14" s="17">
        <v>5.3</v>
      </c>
      <c r="B14" s="2">
        <f t="shared" si="0"/>
        <v>-3.2000000000005357E-3</v>
      </c>
      <c r="C14" s="7">
        <f t="shared" si="1"/>
        <v>1.0240000000003429E-5</v>
      </c>
      <c r="F14" s="17">
        <f>F13</f>
        <v>5.8428571428571452</v>
      </c>
      <c r="G14" s="26">
        <f t="shared" ref="G14" si="17">COUNTIFS($A$2:$A$50,"&gt;="&amp;F14,$A$2:$A$50,"&lt;="&amp;F15)</f>
        <v>4</v>
      </c>
      <c r="H14" s="22">
        <f t="shared" ref="H14" si="18">G14/(50*(F15-F14))</f>
        <v>0.33734939759036087</v>
      </c>
      <c r="I14" s="22">
        <f>(F14+F15)/2</f>
        <v>5.9614285714285735</v>
      </c>
      <c r="J14" s="23">
        <f t="shared" ref="J14" si="19">(1/($G$28*SQRT(2*PI())))*EXP(-(POWER(I14-$G$26,2))/(2*POWER($G$28,2)))</f>
        <v>0.19456328972770584</v>
      </c>
    </row>
    <row r="15" spans="1:17" ht="15" thickBot="1" x14ac:dyDescent="0.35">
      <c r="A15" s="17">
        <v>5.28</v>
      </c>
      <c r="B15" s="2">
        <f t="shared" si="0"/>
        <v>-2.3200000000000109E-2</v>
      </c>
      <c r="C15" s="7">
        <f t="shared" si="1"/>
        <v>5.3824000000000504E-4</v>
      </c>
      <c r="F15" s="18">
        <f>F14+$M$3</f>
        <v>6.0800000000000027</v>
      </c>
      <c r="G15" s="27"/>
      <c r="H15" s="25"/>
      <c r="I15" s="25"/>
      <c r="J15" s="24"/>
    </row>
    <row r="16" spans="1:17" x14ac:dyDescent="0.3">
      <c r="A16" s="17">
        <v>5.58</v>
      </c>
      <c r="B16" s="2">
        <f t="shared" si="0"/>
        <v>0.27679999999999971</v>
      </c>
      <c r="C16" s="7">
        <f t="shared" si="1"/>
        <v>7.6618239999999838E-2</v>
      </c>
      <c r="F16" s="2"/>
      <c r="G16" s="22"/>
      <c r="H16" s="22"/>
      <c r="I16" s="22"/>
      <c r="J16" s="22"/>
    </row>
    <row r="17" spans="1:11" x14ac:dyDescent="0.3">
      <c r="A17" s="17">
        <v>5.54</v>
      </c>
      <c r="B17" s="2">
        <f t="shared" si="0"/>
        <v>0.23679999999999968</v>
      </c>
      <c r="C17" s="7">
        <f t="shared" si="1"/>
        <v>5.6074239999999845E-2</v>
      </c>
      <c r="F17" s="2"/>
      <c r="G17" s="22"/>
      <c r="H17" s="22"/>
      <c r="I17" s="22"/>
      <c r="J17" s="22"/>
    </row>
    <row r="18" spans="1:11" x14ac:dyDescent="0.3">
      <c r="A18" s="17">
        <v>5.0599999999999996</v>
      </c>
      <c r="B18" s="2">
        <f t="shared" si="0"/>
        <v>-0.24320000000000075</v>
      </c>
      <c r="C18" s="7">
        <f t="shared" si="1"/>
        <v>5.9146240000000364E-2</v>
      </c>
    </row>
    <row r="19" spans="1:11" ht="15" thickBot="1" x14ac:dyDescent="0.35">
      <c r="A19" s="17">
        <v>5.3</v>
      </c>
      <c r="B19" s="2">
        <f t="shared" si="0"/>
        <v>-3.2000000000005357E-3</v>
      </c>
      <c r="C19" s="7">
        <f t="shared" si="1"/>
        <v>1.0240000000003429E-5</v>
      </c>
    </row>
    <row r="20" spans="1:11" x14ac:dyDescent="0.3">
      <c r="A20" s="17">
        <v>5.3</v>
      </c>
      <c r="B20" s="2">
        <f t="shared" si="0"/>
        <v>-3.2000000000005357E-3</v>
      </c>
      <c r="C20" s="7">
        <f t="shared" si="1"/>
        <v>1.0240000000003429E-5</v>
      </c>
      <c r="F20" s="6"/>
      <c r="G20" s="4" t="s">
        <v>7</v>
      </c>
      <c r="H20" s="4" t="s">
        <v>8</v>
      </c>
      <c r="I20" s="4" t="s">
        <v>3</v>
      </c>
      <c r="J20" s="4" t="s">
        <v>10</v>
      </c>
      <c r="K20" s="5" t="s">
        <v>9</v>
      </c>
    </row>
    <row r="21" spans="1:11" x14ac:dyDescent="0.3">
      <c r="A21" s="17">
        <v>5.92</v>
      </c>
      <c r="B21" s="2">
        <f t="shared" si="0"/>
        <v>0.61679999999999957</v>
      </c>
      <c r="C21" s="7">
        <f t="shared" si="1"/>
        <v>0.38044223999999949</v>
      </c>
      <c r="F21" s="10" t="s">
        <v>16</v>
      </c>
      <c r="G21" s="2">
        <f>$G$26-$G$28</f>
        <v>4.9531245562360446</v>
      </c>
      <c r="H21" s="2">
        <f>$G$26+$G$28</f>
        <v>5.6532754437639561</v>
      </c>
      <c r="I21" s="15">
        <f>COUNTIFS($A$2:$A$50,"&gt;="&amp;G21,$A$2:$A$50,"&lt;="&amp;H21)</f>
        <v>34</v>
      </c>
      <c r="J21" s="2">
        <f>I21/50</f>
        <v>0.68</v>
      </c>
      <c r="K21" s="11"/>
    </row>
    <row r="22" spans="1:11" x14ac:dyDescent="0.3">
      <c r="A22" s="17">
        <v>5.62</v>
      </c>
      <c r="B22" s="2">
        <f t="shared" si="0"/>
        <v>0.31679999999999975</v>
      </c>
      <c r="C22" s="7">
        <f t="shared" si="1"/>
        <v>0.10036223999999984</v>
      </c>
      <c r="F22" s="10" t="s">
        <v>17</v>
      </c>
      <c r="G22" s="2">
        <f>$G$26-2*$G$28</f>
        <v>4.6030491124720889</v>
      </c>
      <c r="H22" s="2">
        <f>$G$26+2*$G$28</f>
        <v>6.0033508875279118</v>
      </c>
      <c r="I22" s="15">
        <f>COUNTIFS($A$2:$A$50,"&gt;="&amp;G22,$A$2:$A$50,"&lt;="&amp;H22)</f>
        <v>46</v>
      </c>
      <c r="J22" s="2">
        <f t="shared" ref="J22:J23" si="20">I22/50</f>
        <v>0.92</v>
      </c>
      <c r="K22" s="11"/>
    </row>
    <row r="23" spans="1:11" ht="15" thickBot="1" x14ac:dyDescent="0.35">
      <c r="A23" s="17">
        <v>5.7</v>
      </c>
      <c r="B23" s="2">
        <f t="shared" si="0"/>
        <v>0.39679999999999982</v>
      </c>
      <c r="C23" s="7">
        <f t="shared" si="1"/>
        <v>0.15745023999999985</v>
      </c>
      <c r="F23" s="12" t="s">
        <v>18</v>
      </c>
      <c r="G23" s="8">
        <f>$G$26-3*$G$28</f>
        <v>4.2529736687081332</v>
      </c>
      <c r="H23" s="8">
        <f>$G$26+3*$G$28</f>
        <v>6.3534263312918675</v>
      </c>
      <c r="I23" s="16">
        <f t="shared" ref="I23" si="21">COUNTIFS($A$2:$A$50,"&gt;="&amp;G23,$A$2:$A$50,"&lt;="&amp;H23)</f>
        <v>49</v>
      </c>
      <c r="J23" s="8">
        <f t="shared" si="20"/>
        <v>0.98</v>
      </c>
      <c r="K23" s="13"/>
    </row>
    <row r="24" spans="1:11" x14ac:dyDescent="0.3">
      <c r="A24" s="17">
        <v>5.0999999999999996</v>
      </c>
      <c r="B24" s="2">
        <f t="shared" si="0"/>
        <v>-0.20320000000000071</v>
      </c>
      <c r="C24" s="7">
        <f t="shared" si="1"/>
        <v>4.129024000000029E-2</v>
      </c>
    </row>
    <row r="25" spans="1:11" ht="15" thickBot="1" x14ac:dyDescent="0.35">
      <c r="A25" s="17">
        <v>4.8</v>
      </c>
      <c r="B25" s="2">
        <f t="shared" si="0"/>
        <v>-0.50320000000000054</v>
      </c>
      <c r="C25" s="7">
        <f t="shared" si="1"/>
        <v>0.25321024000000053</v>
      </c>
    </row>
    <row r="26" spans="1:11" x14ac:dyDescent="0.3">
      <c r="A26" s="17">
        <v>5</v>
      </c>
      <c r="B26" s="2">
        <f t="shared" si="0"/>
        <v>-0.30320000000000036</v>
      </c>
      <c r="C26" s="7">
        <f t="shared" si="1"/>
        <v>9.1930240000000218E-2</v>
      </c>
      <c r="F26" s="6" t="s">
        <v>12</v>
      </c>
      <c r="G26" s="14">
        <f>AVERAGE(A2:A51)</f>
        <v>5.3032000000000004</v>
      </c>
    </row>
    <row r="27" spans="1:11" x14ac:dyDescent="0.3">
      <c r="A27" s="17">
        <v>5.56</v>
      </c>
      <c r="B27" s="2">
        <f t="shared" si="0"/>
        <v>0.25679999999999925</v>
      </c>
      <c r="C27" s="7">
        <f t="shared" si="1"/>
        <v>6.5946239999999615E-2</v>
      </c>
      <c r="F27" s="10" t="s">
        <v>15</v>
      </c>
      <c r="G27" s="7">
        <f>SUM(B2:B51)</f>
        <v>-1.9539925233402755E-14</v>
      </c>
    </row>
    <row r="28" spans="1:11" x14ac:dyDescent="0.3">
      <c r="A28" s="17">
        <v>4.42</v>
      </c>
      <c r="B28" s="2">
        <f t="shared" si="0"/>
        <v>-0.88320000000000043</v>
      </c>
      <c r="C28" s="7">
        <f t="shared" si="1"/>
        <v>0.78004224000000077</v>
      </c>
      <c r="F28" s="10" t="s">
        <v>13</v>
      </c>
      <c r="G28" s="7">
        <f>SQRT((1/(50-1))*SUM(C2:C51))</f>
        <v>0.35007544376395577</v>
      </c>
    </row>
    <row r="29" spans="1:11" x14ac:dyDescent="0.3">
      <c r="A29" s="17">
        <v>5.3</v>
      </c>
      <c r="B29" s="2">
        <f t="shared" si="0"/>
        <v>-3.2000000000005357E-3</v>
      </c>
      <c r="C29" s="7">
        <f t="shared" si="1"/>
        <v>1.0240000000003429E-5</v>
      </c>
      <c r="F29" s="10" t="s">
        <v>14</v>
      </c>
      <c r="G29" s="7">
        <f>1/(G28*SQRT(2*PI()))</f>
        <v>1.1395894442411283</v>
      </c>
    </row>
    <row r="30" spans="1:11" ht="15" thickBot="1" x14ac:dyDescent="0.35">
      <c r="A30" s="17">
        <v>5.7</v>
      </c>
      <c r="B30" s="2">
        <f t="shared" si="0"/>
        <v>0.39679999999999982</v>
      </c>
      <c r="C30" s="7">
        <f t="shared" si="1"/>
        <v>0.15745023999999985</v>
      </c>
      <c r="F30" s="12" t="s">
        <v>21</v>
      </c>
      <c r="G30" s="9">
        <f>(1/(50-1))*SUM(C2:C51)</f>
        <v>0.12255281632653058</v>
      </c>
    </row>
    <row r="31" spans="1:11" x14ac:dyDescent="0.3">
      <c r="A31" s="17">
        <v>5.0599999999999996</v>
      </c>
      <c r="B31" s="2">
        <f t="shared" si="0"/>
        <v>-0.24320000000000075</v>
      </c>
      <c r="C31" s="7">
        <f t="shared" si="1"/>
        <v>5.9146240000000364E-2</v>
      </c>
    </row>
    <row r="32" spans="1:11" x14ac:dyDescent="0.3">
      <c r="A32" s="17">
        <v>4.78</v>
      </c>
      <c r="B32" s="2">
        <f t="shared" si="0"/>
        <v>-0.52320000000000011</v>
      </c>
      <c r="C32" s="7">
        <f t="shared" si="1"/>
        <v>0.27373824000000013</v>
      </c>
    </row>
    <row r="33" spans="1:3" x14ac:dyDescent="0.3">
      <c r="A33" s="17">
        <v>5</v>
      </c>
      <c r="B33" s="2">
        <f t="shared" si="0"/>
        <v>-0.30320000000000036</v>
      </c>
      <c r="C33" s="7">
        <f t="shared" si="1"/>
        <v>9.1930240000000218E-2</v>
      </c>
    </row>
    <row r="34" spans="1:3" x14ac:dyDescent="0.3">
      <c r="A34" s="17">
        <v>5.14</v>
      </c>
      <c r="B34" s="2">
        <f t="shared" ref="B34:B51" si="22">A34-G$26</f>
        <v>-0.16320000000000068</v>
      </c>
      <c r="C34" s="7">
        <f t="shared" si="1"/>
        <v>2.6634240000000222E-2</v>
      </c>
    </row>
    <row r="35" spans="1:3" x14ac:dyDescent="0.3">
      <c r="A35" s="17">
        <v>5.26</v>
      </c>
      <c r="B35" s="2">
        <f t="shared" si="22"/>
        <v>-4.3200000000000571E-2</v>
      </c>
      <c r="C35" s="7">
        <f t="shared" si="1"/>
        <v>1.8662400000000494E-3</v>
      </c>
    </row>
    <row r="36" spans="1:3" x14ac:dyDescent="0.3">
      <c r="A36" s="17">
        <v>5.4</v>
      </c>
      <c r="B36" s="2">
        <f t="shared" si="22"/>
        <v>9.6799999999999997E-2</v>
      </c>
      <c r="C36" s="7">
        <f t="shared" si="1"/>
        <v>9.3702400000000002E-3</v>
      </c>
    </row>
    <row r="37" spans="1:3" x14ac:dyDescent="0.3">
      <c r="A37" s="17">
        <v>4.8600000000000003</v>
      </c>
      <c r="B37" s="2">
        <f t="shared" si="22"/>
        <v>-0.44320000000000004</v>
      </c>
      <c r="C37" s="7">
        <f t="shared" si="1"/>
        <v>0.19642624000000003</v>
      </c>
    </row>
    <row r="38" spans="1:3" x14ac:dyDescent="0.3">
      <c r="A38" s="17">
        <v>5.3</v>
      </c>
      <c r="B38" s="2">
        <f t="shared" si="22"/>
        <v>-3.2000000000005357E-3</v>
      </c>
      <c r="C38" s="7">
        <f t="shared" si="1"/>
        <v>1.0240000000003429E-5</v>
      </c>
    </row>
    <row r="39" spans="1:3" x14ac:dyDescent="0.3">
      <c r="A39" s="17">
        <v>4.88</v>
      </c>
      <c r="B39" s="2">
        <f t="shared" si="22"/>
        <v>-0.42320000000000046</v>
      </c>
      <c r="C39" s="7">
        <f t="shared" si="1"/>
        <v>0.17909824000000038</v>
      </c>
    </row>
    <row r="40" spans="1:3" x14ac:dyDescent="0.3">
      <c r="A40" s="17">
        <v>5.48</v>
      </c>
      <c r="B40" s="2">
        <f t="shared" si="22"/>
        <v>0.17680000000000007</v>
      </c>
      <c r="C40" s="7">
        <f t="shared" si="1"/>
        <v>3.1258240000000027E-2</v>
      </c>
    </row>
    <row r="41" spans="1:3" x14ac:dyDescent="0.3">
      <c r="A41" s="17">
        <v>5.18</v>
      </c>
      <c r="B41" s="2">
        <f t="shared" si="22"/>
        <v>-0.12320000000000064</v>
      </c>
      <c r="C41" s="7">
        <f t="shared" si="1"/>
        <v>1.5178240000000159E-2</v>
      </c>
    </row>
    <row r="42" spans="1:3" x14ac:dyDescent="0.3">
      <c r="A42" s="17">
        <v>5.2</v>
      </c>
      <c r="B42" s="2">
        <f t="shared" si="22"/>
        <v>-0.10320000000000018</v>
      </c>
      <c r="C42" s="7">
        <f t="shared" si="1"/>
        <v>1.0650240000000036E-2</v>
      </c>
    </row>
    <row r="43" spans="1:3" x14ac:dyDescent="0.3">
      <c r="A43" s="17">
        <v>4.9000000000000004</v>
      </c>
      <c r="B43" s="2">
        <f t="shared" si="22"/>
        <v>-0.4032</v>
      </c>
      <c r="C43" s="7">
        <f t="shared" si="1"/>
        <v>0.16257024</v>
      </c>
    </row>
    <row r="44" spans="1:3" x14ac:dyDescent="0.3">
      <c r="A44" s="17">
        <v>5.36</v>
      </c>
      <c r="B44" s="2">
        <f t="shared" si="22"/>
        <v>5.6799999999999962E-2</v>
      </c>
      <c r="C44" s="7">
        <f t="shared" si="1"/>
        <v>3.2262399999999957E-3</v>
      </c>
    </row>
    <row r="45" spans="1:3" x14ac:dyDescent="0.3">
      <c r="A45" s="17">
        <v>5.42</v>
      </c>
      <c r="B45" s="2">
        <f t="shared" si="22"/>
        <v>0.11679999999999957</v>
      </c>
      <c r="C45" s="7">
        <f t="shared" si="1"/>
        <v>1.3642239999999899E-2</v>
      </c>
    </row>
    <row r="46" spans="1:3" x14ac:dyDescent="0.3">
      <c r="A46" s="17">
        <v>4.82</v>
      </c>
      <c r="B46" s="2">
        <f t="shared" si="22"/>
        <v>-0.48320000000000007</v>
      </c>
      <c r="C46" s="7">
        <f t="shared" si="1"/>
        <v>0.23348224000000006</v>
      </c>
    </row>
    <row r="47" spans="1:3" x14ac:dyDescent="0.3">
      <c r="A47" s="17">
        <v>5.0599999999999996</v>
      </c>
      <c r="B47" s="2">
        <f t="shared" si="22"/>
        <v>-0.24320000000000075</v>
      </c>
      <c r="C47" s="7">
        <f t="shared" si="1"/>
        <v>5.9146240000000364E-2</v>
      </c>
    </row>
    <row r="48" spans="1:3" x14ac:dyDescent="0.3">
      <c r="A48" s="17">
        <v>6.08</v>
      </c>
      <c r="B48" s="2">
        <f t="shared" si="22"/>
        <v>0.77679999999999971</v>
      </c>
      <c r="C48" s="7">
        <f t="shared" si="1"/>
        <v>0.60341823999999955</v>
      </c>
    </row>
    <row r="49" spans="1:3" x14ac:dyDescent="0.3">
      <c r="A49" s="17">
        <v>5.12</v>
      </c>
      <c r="B49" s="2">
        <f t="shared" si="22"/>
        <v>-0.18320000000000025</v>
      </c>
      <c r="C49" s="7">
        <f t="shared" si="1"/>
        <v>3.356224000000009E-2</v>
      </c>
    </row>
    <row r="50" spans="1:3" x14ac:dyDescent="0.3">
      <c r="A50" s="17">
        <v>5.16</v>
      </c>
      <c r="B50" s="2">
        <f t="shared" si="22"/>
        <v>-0.14320000000000022</v>
      </c>
      <c r="C50" s="7">
        <f t="shared" si="1"/>
        <v>2.0506240000000061E-2</v>
      </c>
    </row>
    <row r="51" spans="1:3" ht="15" thickBot="1" x14ac:dyDescent="0.35">
      <c r="A51" s="18">
        <v>5</v>
      </c>
      <c r="B51" s="8">
        <f t="shared" si="22"/>
        <v>-0.30320000000000036</v>
      </c>
      <c r="C51" s="9">
        <f t="shared" si="1"/>
        <v>9.1930240000000218E-2</v>
      </c>
    </row>
    <row r="54" spans="1:3" x14ac:dyDescent="0.3">
      <c r="B54" s="1"/>
    </row>
    <row r="55" spans="1:3" x14ac:dyDescent="0.3">
      <c r="B55" s="1"/>
    </row>
  </sheetData>
  <mergeCells count="32">
    <mergeCell ref="J2:J3"/>
    <mergeCell ref="I2:I3"/>
    <mergeCell ref="H2:H3"/>
    <mergeCell ref="G16:G17"/>
    <mergeCell ref="G14:G15"/>
    <mergeCell ref="G6:G7"/>
    <mergeCell ref="G10:G11"/>
    <mergeCell ref="G12:G13"/>
    <mergeCell ref="G8:G9"/>
    <mergeCell ref="G2:G3"/>
    <mergeCell ref="G4:G5"/>
    <mergeCell ref="I10:I11"/>
    <mergeCell ref="H10:H11"/>
    <mergeCell ref="J4:J5"/>
    <mergeCell ref="I4:I5"/>
    <mergeCell ref="H4:H5"/>
    <mergeCell ref="J16:J17"/>
    <mergeCell ref="I16:I17"/>
    <mergeCell ref="H16:H17"/>
    <mergeCell ref="J6:J7"/>
    <mergeCell ref="I6:I7"/>
    <mergeCell ref="H6:H7"/>
    <mergeCell ref="J14:J15"/>
    <mergeCell ref="I14:I15"/>
    <mergeCell ref="H14:H15"/>
    <mergeCell ref="J8:J9"/>
    <mergeCell ref="I8:I9"/>
    <mergeCell ref="H8:H9"/>
    <mergeCell ref="J12:J13"/>
    <mergeCell ref="I12:I13"/>
    <mergeCell ref="H12:H13"/>
    <mergeCell ref="J10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Тимур Ступин</dc:creator>
  <cp:lastModifiedBy>Ступин Тимур Русланович</cp:lastModifiedBy>
  <dcterms:created xsi:type="dcterms:W3CDTF">2015-06-05T18:19:34Z</dcterms:created>
  <dcterms:modified xsi:type="dcterms:W3CDTF">2024-09-24T22:05:05Z</dcterms:modified>
</cp:coreProperties>
</file>